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960e77596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ёт" sheetId="1" r:id="R58290add46d34dde"/>
    <x:sheet xmlns:r="http://schemas.openxmlformats.org/officeDocument/2006/relationships" name="Кто и на что" sheetId="2" r:id="Ra6e28264b8a749b3"/>
    <x:sheet xmlns:r="http://schemas.openxmlformats.org/officeDocument/2006/relationships" name="Операции" sheetId="3" r:id="R8a7afb9b133c4431"/>
    <x:sheet xmlns:r="http://schemas.openxmlformats.org/officeDocument/2006/relationships" name="Разбор" sheetId="4" r:id="R571301ad6beb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(#,##0);&quot;–&quot;"/>
    <x:numFmt numFmtId="202" formatCode="#,##0"/>
  </x:numFmts>
  <x:fonts count="8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20"/>
      <x:name val="Arial"/>
    </x:font>
    <x:font>
      <x:b/>
      <x:sz val="20"/>
      <x:name val="Arial"/>
    </x:font>
    <x:font>
      <x:sz val="11"/>
      <x:color rgb="FF6573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212B"/>
      </x:patternFill>
    </x:fill>
    <x:fill>
      <x:patternFill patternType="solid">
        <x:fgColor rgb="FFFFF0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8eb88ceaa4ee1" /><Relationship Type="http://schemas.openxmlformats.org/officeDocument/2006/relationships/theme" Target="/xl/theme/theme1.xml" Id="R89c577a8b4704662" /><Relationship Type="http://schemas.openxmlformats.org/officeDocument/2006/relationships/sharedStrings" Target="/xl/sharedStrings.xml" Id="R67faa6f50eef4a71" /><Relationship Type="http://schemas.openxmlformats.org/officeDocument/2006/relationships/worksheet" Target="/xl/worksheets/sheet1.xml" Id="R58290add46d34dde" /><Relationship Type="http://schemas.openxmlformats.org/officeDocument/2006/relationships/worksheet" Target="/xl/worksheets/sheet2.xml" Id="Ra6e28264b8a749b3" /><Relationship Type="http://schemas.openxmlformats.org/officeDocument/2006/relationships/worksheet" Target="/xl/worksheets/sheet3.xml" Id="R8a7afb9b133c4431" /><Relationship Type="http://schemas.openxmlformats.org/officeDocument/2006/relationships/worksheet" Target="/xl/worksheets/sheet4.xml" Id="R571301ad6beb4c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63eefbae9947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Чистые расходы по месяцам, руб.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Чистые расходы, руб.</c:v>
          </c:tx>
          <c:spPr>
            <a:solidFill xmlns:a="http://schemas.openxmlformats.org/drawingml/2006/main">
              <a:srgbClr val="FF6B00"/>
            </a:solidFill>
          </c:spPr>
          <c:marker>
            <c:symbol val="none"/>
          </c:marker>
          <c:cat>
            <c:strRef>
              <c:f>'Отчёт'!$A$10:$A$12</c:f>
              <c:strCache>
                <c:ptCount val="0"/>
              </c:strCache>
            </c:strRef>
          </c:cat>
          <c:val>
            <c:numRef>
              <c:f>'Отчёт'!$B$10:$B$12</c:f>
              <c:numCache>
                <c:formatCode>#,##0;[Red](#,##0);"–"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63eefbae9947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88b787ac99402c" /></Relationships>
</file>

<file path=xl/worksheets/sheet1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44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16" t="str">
        <x:v>Расходы семьи за три месяца</x:v>
      </x:c>
      <x:c r="B1" s="2"/>
    </x:row>
    <x:row r="2" ht="27" customHeight="1">
      <x:c r="A2" s="17" t="str">
        <x:v>Июль–сентябрь 2026 • учебный пример • все суммы в рублях</x:v>
      </x:c>
      <x:c r="B2" s="2"/>
    </x:row>
    <x:row r="3" ht="27" customHeight="1">
      <x:c r="A3" s="2"/>
      <x:c r="B3" s="2"/>
    </x:row>
    <x:row r="4" ht="32" customHeight="1">
      <x:c r="A4" s="6" t="str">
        <x:v>Показатель</x:v>
      </x:c>
      <x:c r="B4" s="6" t="str">
        <x:v>Сумма, руб.</x:v>
      </x:c>
    </x:row>
    <x:row r="5" ht="27" customHeight="1">
      <x:c r="A5" s="2" t="str">
        <x:v>Покупки до возвратов</x:v>
      </x:c>
      <x:c r="B5" s="8" t="n">
        <x:f>SUMIFS('Операции'!$I$2:$I$67,'Операции'!$H$2:$H$67,"Расход")</x:f>
        <x:v>131507</x:v>
      </x:c>
    </x:row>
    <x:row r="6" ht="27" customHeight="1">
      <x:c r="A6" s="2" t="str">
        <x:v>Возвраты покупок</x:v>
      </x:c>
      <x:c r="B6" s="8" t="n">
        <x:f>SUMIFS('Операции'!$I$2:$I$67,'Операции'!$H$2:$H$67,"Возврат")</x:f>
        <x:v>3500</x:v>
      </x:c>
    </x:row>
    <x:row r="7" ht="27" customHeight="1">
      <x:c r="A7" s="12" t="str">
        <x:v>Расходы за вычетом возвратов</x:v>
      </x:c>
      <x:c r="B7" s="14" t="n">
        <x:f>B5-B6</x:f>
        <x:v>128007</x:v>
      </x:c>
    </x:row>
    <x:row r="8" ht="27" customHeight="1">
      <x:c r="A8" s="2"/>
      <x:c r="B8" s="8"/>
    </x:row>
    <x:row r="9" ht="32" customHeight="1">
      <x:c r="A9" s="6" t="str">
        <x:v>Месяц</x:v>
      </x:c>
      <x:c r="B9" s="18" t="str">
        <x:v>Чистые расходы, руб.</x:v>
      </x:c>
    </x:row>
    <x:row r="10" ht="27" customHeight="1">
      <x:c r="A10" s="2" t="str">
        <x:v>2026-07</x:v>
      </x:c>
      <x:c r="B10" s="8" t="n">
        <x:f>SUMIFS('Операции'!$J$2:$J$67,'Операции'!$C$2:$C$67,A10)</x:f>
        <x:v>39219</x:v>
      </x:c>
    </x:row>
    <x:row r="11" ht="27" customHeight="1">
      <x:c r="A11" s="2" t="str">
        <x:v>2026-08</x:v>
      </x:c>
      <x:c r="B11" s="8" t="n">
        <x:f>SUMIFS('Операции'!$J$2:$J$67,'Операции'!$C$2:$C$67,A11)</x:f>
        <x:v>42919</x:v>
      </x:c>
    </x:row>
    <x:row r="12" ht="27" customHeight="1">
      <x:c r="A12" s="2" t="str">
        <x:v>2026-09</x:v>
      </x:c>
      <x:c r="B12" s="8" t="n">
        <x:f>SUMIFS('Операции'!$J$2:$J$67,'Операции'!$C$2:$C$67,A12)</x:f>
        <x:v>45869</x:v>
      </x:c>
    </x:row>
    <x:row r="13" ht="27" customHeight="1">
      <x:c r="A13" s="12" t="str">
        <x:v>Итого</x:v>
      </x:c>
      <x:c r="B13" s="14" t="n">
        <x:f>SUM(B10:B12)</x:f>
        <x:v>128007</x:v>
      </x:c>
    </x:row>
    <x:row r="14" ht="27" customHeight="1">
      <x:c r="A14" s="2"/>
      <x:c r="B14" s="8"/>
    </x:row>
    <x:row r="15" ht="32" customHeight="1">
      <x:c r="A15" s="6" t="str">
        <x:v>Кто оплатил</x:v>
      </x:c>
      <x:c r="B15" s="18" t="str">
        <x:v>Чистые расходы, руб.</x:v>
      </x:c>
    </x:row>
    <x:row r="16" ht="27" customHeight="1">
      <x:c r="A16" s="2" t="str">
        <x:v>Я</x:v>
      </x:c>
      <x:c r="B16" s="8" t="n">
        <x:f>SUMIFS('Операции'!$J$2:$J$67,'Операции'!$D$2:$D$67,A16)</x:f>
        <x:v>43197</x:v>
      </x:c>
    </x:row>
    <x:row r="17" ht="27" customHeight="1">
      <x:c r="A17" s="2" t="str">
        <x:v>Мама</x:v>
      </x:c>
      <x:c r="B17" s="8" t="n">
        <x:f>SUMIFS('Операции'!$J$2:$J$67,'Операции'!$D$2:$D$67,A17)</x:f>
        <x:v>55500</x:v>
      </x:c>
    </x:row>
    <x:row r="18" ht="27" customHeight="1">
      <x:c r="A18" s="2" t="str">
        <x:v>Дочь</x:v>
      </x:c>
      <x:c r="B18" s="8" t="n">
        <x:f>SUMIFS('Операции'!$J$2:$J$67,'Операции'!$D$2:$D$67,A18)</x:f>
        <x:v>11950</x:v>
      </x:c>
    </x:row>
    <x:row r="19" ht="27" customHeight="1">
      <x:c r="A19" s="2" t="str">
        <x:v>Сын Илья</x:v>
      </x:c>
      <x:c r="B19" s="8" t="n">
        <x:f>SUMIFS('Операции'!$J$2:$J$67,'Операции'!$D$2:$D$67,A19)</x:f>
        <x:v>9570</x:v>
      </x:c>
    </x:row>
    <x:row r="20" ht="27" customHeight="1">
      <x:c r="A20" s="2" t="str">
        <x:v>Сын Максим</x:v>
      </x:c>
      <x:c r="B20" s="8" t="n">
        <x:f>SUMIFS('Операции'!$J$2:$J$67,'Операции'!$D$2:$D$67,A20)</x:f>
        <x:v>7790</x:v>
      </x:c>
    </x:row>
    <x:row r="21" ht="27" customHeight="1">
      <x:c r="A21" s="12" t="str">
        <x:v>Итого</x:v>
      </x:c>
      <x:c r="B21" s="14" t="n">
        <x:f>SUM(B16:B20)</x:f>
        <x:v>128007</x:v>
      </x:c>
    </x:row>
    <x:row r="22" ht="27" customHeight="1">
      <x:c r="A22" s="2"/>
      <x:c r="B22" s="8"/>
    </x:row>
    <x:row r="23" ht="32" customHeight="1">
      <x:c r="A23" s="6" t="str">
        <x:v>Категория</x:v>
      </x:c>
      <x:c r="B23" s="18" t="str">
        <x:v>Чистые расходы, руб.</x:v>
      </x:c>
    </x:row>
    <x:row r="24" ht="27" customHeight="1">
      <x:c r="A24" s="2" t="str">
        <x:v>Еда</x:v>
      </x:c>
      <x:c r="B24" s="8" t="n">
        <x:f>SUMIFS('Операции'!$J$2:$J$67,'Операции'!$F$2:$F$67,A24)</x:f>
        <x:v>27420</x:v>
      </x:c>
    </x:row>
    <x:row r="25" ht="27" customHeight="1">
      <x:c r="A25" s="2" t="str">
        <x:v>Транспорт</x:v>
      </x:c>
      <x:c r="B25" s="8" t="n">
        <x:f>SUMIFS('Операции'!$J$2:$J$67,'Операции'!$F$2:$F$67,A25)</x:f>
        <x:v>14220</x:v>
      </x:c>
    </x:row>
    <x:row r="26" ht="27" customHeight="1">
      <x:c r="A26" s="2" t="str">
        <x:v>Дом и быт</x:v>
      </x:c>
      <x:c r="B26" s="8" t="n">
        <x:f>SUMIFS('Операции'!$J$2:$J$67,'Операции'!$F$2:$F$67,A26)</x:f>
        <x:v>22800</x:v>
      </x:c>
    </x:row>
    <x:row r="27" ht="27" customHeight="1">
      <x:c r="A27" s="2" t="str">
        <x:v>Здоровье</x:v>
      </x:c>
      <x:c r="B27" s="8" t="n">
        <x:f>SUMIFS('Операции'!$J$2:$J$67,'Операции'!$F$2:$F$67,A27)</x:f>
        <x:v>5850</x:v>
      </x:c>
    </x:row>
    <x:row r="28" ht="27" customHeight="1">
      <x:c r="A28" s="2" t="str">
        <x:v>Уход за собой</x:v>
      </x:c>
      <x:c r="B28" s="8" t="n">
        <x:f>SUMIFS('Операции'!$J$2:$J$67,'Операции'!$F$2:$F$67,A28)</x:f>
        <x:v>7200</x:v>
      </x:c>
    </x:row>
    <x:row r="29" ht="27" customHeight="1">
      <x:c r="A29" s="2" t="str">
        <x:v>Одежда</x:v>
      </x:c>
      <x:c r="B29" s="8" t="n">
        <x:f>SUMIFS('Операции'!$J$2:$J$67,'Операции'!$F$2:$F$67,A29)</x:f>
        <x:v>9550</x:v>
      </x:c>
    </x:row>
    <x:row r="30" ht="27" customHeight="1">
      <x:c r="A30" s="2" t="str">
        <x:v>Обучение и спорт</x:v>
      </x:c>
      <x:c r="B30" s="8" t="n">
        <x:f>SUMIFS('Операции'!$J$2:$J$67,'Операции'!$F$2:$F$67,A30)</x:f>
        <x:v>30750</x:v>
      </x:c>
    </x:row>
    <x:row r="31" ht="27" customHeight="1">
      <x:c r="A31" s="2" t="str">
        <x:v>Развлечения</x:v>
      </x:c>
      <x:c r="B31" s="8" t="n">
        <x:f>SUMIFS('Операции'!$J$2:$J$67,'Операции'!$F$2:$F$67,A31)</x:f>
        <x:v>9267</x:v>
      </x:c>
    </x:row>
    <x:row r="32" ht="27" customHeight="1">
      <x:c r="A32" s="2" t="str">
        <x:v>Нужно уточнить</x:v>
      </x:c>
      <x:c r="B32" s="8" t="n">
        <x:f>SUMIFS('Операции'!$J$2:$J$67,'Операции'!$F$2:$F$67,A32)</x:f>
        <x:v>950</x:v>
      </x:c>
    </x:row>
    <x:row r="33" ht="27" customHeight="1">
      <x:c r="A33" s="12" t="str">
        <x:v>Итого</x:v>
      </x:c>
      <x:c r="B33" s="14" t="n">
        <x:f>SUM(B24:B32)</x:f>
        <x:v>128007</x:v>
      </x:c>
    </x:row>
    <x:row r="34" ht="27" customHeight="1">
      <x:c r="A34" s="2"/>
      <x:c r="B34" s="8"/>
    </x:row>
    <x:row r="35" ht="32" customHeight="1">
      <x:c r="A35" s="6" t="str">
        <x:v>Для кого потрачено</x:v>
      </x:c>
      <x:c r="B35" s="18" t="str">
        <x:v>Чистые расходы, руб.</x:v>
      </x:c>
    </x:row>
    <x:row r="36" ht="27" customHeight="1">
      <x:c r="A36" s="2" t="str">
        <x:v>Я</x:v>
      </x:c>
      <x:c r="B36" s="8" t="n">
        <x:f>SUMIFS('Операции'!$J$2:$J$67,'Операции'!$E$2:$E$67,A36)</x:f>
        <x:v>9897</x:v>
      </x:c>
    </x:row>
    <x:row r="37" ht="27" customHeight="1">
      <x:c r="A37" s="2" t="str">
        <x:v>Мама</x:v>
      </x:c>
      <x:c r="B37" s="8" t="n">
        <x:f>SUMIFS('Операции'!$J$2:$J$67,'Операции'!$E$2:$E$67,A37)</x:f>
        <x:v>14400</x:v>
      </x:c>
    </x:row>
    <x:row r="38" ht="27" customHeight="1">
      <x:c r="A38" s="2" t="str">
        <x:v>Дочь</x:v>
      </x:c>
      <x:c r="B38" s="8" t="n">
        <x:f>SUMIFS('Операции'!$J$2:$J$67,'Операции'!$E$2:$E$67,A38)</x:f>
        <x:v>25750</x:v>
      </x:c>
    </x:row>
    <x:row r="39" ht="27" customHeight="1">
      <x:c r="A39" s="2" t="str">
        <x:v>Сын Илья</x:v>
      </x:c>
      <x:c r="B39" s="8" t="n">
        <x:f>SUMIFS('Операции'!$J$2:$J$67,'Операции'!$E$2:$E$67,A39)</x:f>
        <x:v>20370</x:v>
      </x:c>
    </x:row>
    <x:row r="40" ht="27" customHeight="1">
      <x:c r="A40" s="2" t="str">
        <x:v>Сын Максим</x:v>
      </x:c>
      <x:c r="B40" s="8" t="n">
        <x:f>SUMIFS('Операции'!$J$2:$J$67,'Операции'!$E$2:$E$67,A40)</x:f>
        <x:v>15890</x:v>
      </x:c>
    </x:row>
    <x:row r="41" ht="27" customHeight="1">
      <x:c r="A41" s="2" t="str">
        <x:v>Общие расходы</x:v>
      </x:c>
      <x:c r="B41" s="8" t="n">
        <x:f>SUMIFS('Операции'!$J$2:$J$67,'Операции'!$E$2:$E$67,A41)</x:f>
        <x:v>41700</x:v>
      </x:c>
    </x:row>
    <x:row r="42" ht="27" customHeight="1">
      <x:c r="A42" s="12" t="str">
        <x:v>Итого</x:v>
      </x:c>
      <x:c r="B42" s="14" t="n">
        <x:f>SUM(B36:B41)</x:f>
        <x:v>128007</x:v>
      </x:c>
    </x:row>
    <x:row r="43" ht="27" customHeight="1">
      <x:c r="A43" s="2"/>
      <x:c r="B43" s="2"/>
    </x:row>
    <x:row r="44" ht="34" customHeight="1">
      <x:c r="A44" s="21" t="str">
        <x:v>Кто оплатил и для кого купили показаны отдельно. Общие расходы между людьми не распределены.</x:v>
      </x:c>
      <x:c r="B44" s="19"/>
      <x:c r="C44" s="20"/>
      <x:c r="D44" s="20"/>
      <x:c r="E44" s="20"/>
      <x:c r="F44" s="20"/>
      <x:c r="G44" s="20"/>
    </x:row>
    <x:row r="45" ht="34" customHeight="1">
      <x:c r="A45" s="21" t="str">
        <x:v>«Нужно уточнить» входит в расходы: сумма известна, назначение покупки ещё не подтверждено.</x:v>
      </x:c>
      <x:c r="B45" s="19"/>
      <x:c r="C45" s="20"/>
      <x:c r="D45" s="20"/>
      <x:c r="E45" s="20"/>
      <x:c r="F45" s="20"/>
      <x:c r="G45" s="20"/>
    </x:row>
    <x:row r="46" ht="34" customHeight="1">
      <x:c r="A46" s="21" t="str">
        <x:v>Повторы чеков, переводы родственникам и неоплаченный счёт перечислены на листе «Разбор».</x:v>
      </x:c>
      <x:c r="B46" s="19"/>
      <x:c r="C46" s="20"/>
      <x:c r="D46" s="20"/>
      <x:c r="E46" s="20"/>
      <x:c r="F46" s="20"/>
      <x:c r="G46" s="20"/>
    </x:row>
    <x:row r="47" ht="27" customHeight="1">
      <x:c r="A47" s="2"/>
      <x:c r="B47" s="2"/>
    </x:row>
    <x:row r="48" ht="34" customHeight="1">
      <x:c r="A48" s="21" t="str">
        <x:v>Мама оплатила 55 500 руб. из 128 007 руб. чистых расходов семьи; часть этих покупок сделана для детей.</x:v>
      </x:c>
      <x:c r="B48" s="19"/>
      <x:c r="C48" s="20"/>
      <x:c r="D48" s="20"/>
      <x:c r="E48" s="20"/>
      <x:c r="F48" s="20"/>
      <x:c r="G48" s="20"/>
    </x:row>
    <x:row r="49" ht="34" customHeight="1">
      <x:c r="A49" s="21" t="str">
        <x:v>Чистые расходы выросли с 39 219 руб. в июле до 45 869 руб. в сентябре: на 6 650 руб.</x:v>
      </x:c>
      <x:c r="B49" s="19"/>
      <x:c r="C49" s="20"/>
      <x:c r="D49" s="20"/>
      <x:c r="E49" s="20"/>
      <x:c r="F49" s="20"/>
      <x:c r="G49" s="20"/>
    </x:row>
  </x:sheetData>
  <x:mergeCells>
    <x:mergeCell ref="A1:G1"/>
    <x:mergeCell ref="A2:G2"/>
    <x:mergeCell ref="A44:G44"/>
    <x:mergeCell ref="A45:G45"/>
    <x:mergeCell ref="A46:G46"/>
    <x:mergeCell ref="A48:G48"/>
    <x:mergeCell ref="A49:G49"/>
  </x:mergeCells>
  <x:pageMargins left="0.7" right="0.7" top="0.75" bottom="0.75" header="0.3" footer="0.3"/>
  <x:drawing xmlns:r="http://schemas.openxmlformats.org/officeDocument/2006/relationships" r:id="Rba88b787ac99402c"/>
</x:worksheet>
</file>

<file path=xl/worksheets/sheet2.xml><?xml version="1.0" encoding="utf-8"?>
<x:worksheet xmlns:x="http://schemas.openxmlformats.org/spreadsheetml/2006/main">
  <x:sheetPr>
    <x:tabColor rgb="FFFF6B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6" t="str">
        <x:v>Кто оплатил</x:v>
      </x:c>
      <x:c r="B1" s="6" t="str">
        <x:v>Еда</x:v>
      </x:c>
      <x:c r="C1" s="6" t="str">
        <x:v>Транспорт</x:v>
      </x:c>
      <x:c r="D1" s="6" t="str">
        <x:v>Дом и быт</x:v>
      </x:c>
      <x:c r="E1" s="6" t="str">
        <x:v>Здоровье</x:v>
      </x:c>
      <x:c r="F1" s="6" t="str">
        <x:v>Уход за собой</x:v>
      </x:c>
      <x:c r="G1" s="6" t="str">
        <x:v>Одежда</x:v>
      </x:c>
      <x:c r="H1" s="6" t="str">
        <x:v>Обучение и спорт</x:v>
      </x:c>
      <x:c r="I1" s="6" t="str">
        <x:v>Развлечения</x:v>
      </x:c>
      <x:c r="J1" s="6" t="str">
        <x:v>Нужно уточнить</x:v>
      </x:c>
      <x:c r="K1" s="6" t="str">
        <x:v>Итого</x:v>
      </x:c>
    </x:row>
    <x:row r="2" ht="27" customHeight="1">
      <x:c r="A2" s="2" t="str">
        <x:v>Я</x:v>
      </x:c>
      <x:c r="B2" s="8" t="n">
        <x:f>SUMIFS('Операции'!$J$2:$J$67,'Операции'!$D$2:$D$67,$A2,'Операции'!$F$2:$F$67,B$1)</x:f>
        <x:v>4800</x:v>
      </x:c>
      <x:c r="C2" s="8" t="n">
        <x:f>SUMIFS('Операции'!$J$2:$J$67,'Операции'!$D$2:$D$67,$A2,'Операции'!$F$2:$F$67,C$1)</x:f>
        <x:v>8100</x:v>
      </x:c>
      <x:c r="D2" s="8" t="n">
        <x:f>SUMIFS('Операции'!$J$2:$J$67,'Операции'!$D$2:$D$67,$A2,'Операции'!$F$2:$F$67,D$1)</x:f>
        <x:v>20400</x:v>
      </x:c>
      <x:c r="E2" s="8" t="n">
        <x:f>SUMIFS('Операции'!$J$2:$J$67,'Операции'!$D$2:$D$67,$A2,'Операции'!$F$2:$F$67,E$1)</x:f>
        <x:v>0</x:v>
      </x:c>
      <x:c r="F2" s="8" t="n">
        <x:f>SUMIFS('Операции'!$J$2:$J$67,'Операции'!$D$2:$D$67,$A2,'Операции'!$F$2:$F$67,F$1)</x:f>
        <x:v>0</x:v>
      </x:c>
      <x:c r="G2" s="8" t="n">
        <x:f>SUMIFS('Операции'!$J$2:$J$67,'Операции'!$D$2:$D$67,$A2,'Операции'!$F$2:$F$67,G$1)</x:f>
        <x:v>0</x:v>
      </x:c>
      <x:c r="H2" s="8" t="n">
        <x:f>SUMIFS('Операции'!$J$2:$J$67,'Операции'!$D$2:$D$67,$A2,'Операции'!$F$2:$F$67,H$1)</x:f>
        <x:v>8100</x:v>
      </x:c>
      <x:c r="I2" s="8" t="n">
        <x:f>SUMIFS('Операции'!$J$2:$J$67,'Операции'!$D$2:$D$67,$A2,'Операции'!$F$2:$F$67,I$1)</x:f>
        <x:v>1797</x:v>
      </x:c>
      <x:c r="J2" s="8" t="n">
        <x:f>SUMIFS('Операции'!$J$2:$J$67,'Операции'!$D$2:$D$67,$A2,'Операции'!$F$2:$F$67,J$1)</x:f>
        <x:v>0</x:v>
      </x:c>
      <x:c r="K2" s="8" t="n">
        <x:f>SUM(B2:J2)</x:f>
        <x:v>43197</x:v>
      </x:c>
    </x:row>
    <x:row r="3" ht="27" customHeight="1">
      <x:c r="A3" s="2" t="str">
        <x:v>Мама</x:v>
      </x:c>
      <x:c r="B3" s="8" t="n">
        <x:f>SUMIFS('Операции'!$J$2:$J$67,'Операции'!$D$2:$D$67,$A3,'Операции'!$F$2:$F$67,B$1)</x:f>
        <x:v>14100</x:v>
      </x:c>
      <x:c r="C3" s="8" t="n">
        <x:f>SUMIFS('Операции'!$J$2:$J$67,'Операции'!$D$2:$D$67,$A3,'Операции'!$F$2:$F$67,C$1)</x:f>
        <x:v>3150</x:v>
      </x:c>
      <x:c r="D3" s="8" t="n">
        <x:f>SUMIFS('Операции'!$J$2:$J$67,'Операции'!$D$2:$D$67,$A3,'Операции'!$F$2:$F$67,D$1)</x:f>
        <x:v>2400</x:v>
      </x:c>
      <x:c r="E3" s="8" t="n">
        <x:f>SUMIFS('Операции'!$J$2:$J$67,'Операции'!$D$2:$D$67,$A3,'Операции'!$F$2:$F$67,E$1)</x:f>
        <x:v>5850</x:v>
      </x:c>
      <x:c r="F3" s="8" t="n">
        <x:f>SUMIFS('Операции'!$J$2:$J$67,'Операции'!$D$2:$D$67,$A3,'Операции'!$F$2:$F$67,F$1)</x:f>
        <x:v>7200</x:v>
      </x:c>
      <x:c r="G3" s="8" t="n">
        <x:f>SUMIFS('Операции'!$J$2:$J$67,'Операции'!$D$2:$D$67,$A3,'Операции'!$F$2:$F$67,G$1)</x:f>
        <x:v>3000</x:v>
      </x:c>
      <x:c r="H3" s="8" t="n">
        <x:f>SUMIFS('Операции'!$J$2:$J$67,'Операции'!$D$2:$D$67,$A3,'Операции'!$F$2:$F$67,H$1)</x:f>
        <x:v>19800</x:v>
      </x:c>
      <x:c r="I3" s="8" t="n">
        <x:f>SUMIFS('Операции'!$J$2:$J$67,'Операции'!$D$2:$D$67,$A3,'Операции'!$F$2:$F$67,I$1)</x:f>
        <x:v>0</x:v>
      </x:c>
      <x:c r="J3" s="8" t="n">
        <x:f>SUMIFS('Операции'!$J$2:$J$67,'Операции'!$D$2:$D$67,$A3,'Операции'!$F$2:$F$67,J$1)</x:f>
        <x:v>0</x:v>
      </x:c>
      <x:c r="K3" s="8" t="n">
        <x:f>SUM(B3:J3)</x:f>
        <x:v>55500</x:v>
      </x:c>
    </x:row>
    <x:row r="4" ht="27" customHeight="1">
      <x:c r="A4" s="2" t="str">
        <x:v>Дочь</x:v>
      </x:c>
      <x:c r="B4" s="8" t="n">
        <x:f>SUMIFS('Операции'!$J$2:$J$67,'Операции'!$D$2:$D$67,$A4,'Операции'!$F$2:$F$67,B$1)</x:f>
        <x:v>3150</x:v>
      </x:c>
      <x:c r="C4" s="8" t="n">
        <x:f>SUMIFS('Операции'!$J$2:$J$67,'Операции'!$D$2:$D$67,$A4,'Операции'!$F$2:$F$67,C$1)</x:f>
        <x:v>2250</x:v>
      </x:c>
      <x:c r="D4" s="8" t="n">
        <x:f>SUMIFS('Операции'!$J$2:$J$67,'Операции'!$D$2:$D$67,$A4,'Операции'!$F$2:$F$67,D$1)</x:f>
        <x:v>0</x:v>
      </x:c>
      <x:c r="E4" s="8" t="n">
        <x:f>SUMIFS('Операции'!$J$2:$J$67,'Операции'!$D$2:$D$67,$A4,'Операции'!$F$2:$F$67,E$1)</x:f>
        <x:v>0</x:v>
      </x:c>
      <x:c r="F4" s="8" t="n">
        <x:f>SUMIFS('Операции'!$J$2:$J$67,'Операции'!$D$2:$D$67,$A4,'Операции'!$F$2:$F$67,F$1)</x:f>
        <x:v>0</x:v>
      </x:c>
      <x:c r="G4" s="8" t="n">
        <x:f>SUMIFS('Операции'!$J$2:$J$67,'Операции'!$D$2:$D$67,$A4,'Операции'!$F$2:$F$67,G$1)</x:f>
        <x:v>6550</x:v>
      </x:c>
      <x:c r="H4" s="8" t="n">
        <x:f>SUMIFS('Операции'!$J$2:$J$67,'Операции'!$D$2:$D$67,$A4,'Операции'!$F$2:$F$67,H$1)</x:f>
        <x:v>0</x:v>
      </x:c>
      <x:c r="I4" s="8" t="n">
        <x:f>SUMIFS('Операции'!$J$2:$J$67,'Операции'!$D$2:$D$67,$A4,'Операции'!$F$2:$F$67,I$1)</x:f>
        <x:v>0</x:v>
      </x:c>
      <x:c r="J4" s="8" t="n">
        <x:f>SUMIFS('Операции'!$J$2:$J$67,'Операции'!$D$2:$D$67,$A4,'Операции'!$F$2:$F$67,J$1)</x:f>
        <x:v>0</x:v>
      </x:c>
      <x:c r="K4" s="8" t="n">
        <x:f>SUM(B4:J4)</x:f>
        <x:v>11950</x:v>
      </x:c>
    </x:row>
    <x:row r="5" ht="27" customHeight="1">
      <x:c r="A5" s="2" t="str">
        <x:v>Сын Илья</x:v>
      </x:c>
      <x:c r="B5" s="8" t="n">
        <x:f>SUMIFS('Операции'!$J$2:$J$67,'Операции'!$D$2:$D$67,$A5,'Операции'!$F$2:$F$67,B$1)</x:f>
        <x:v>3300</x:v>
      </x:c>
      <x:c r="C5" s="8" t="n">
        <x:f>SUMIFS('Операции'!$J$2:$J$67,'Операции'!$D$2:$D$67,$A5,'Операции'!$F$2:$F$67,C$1)</x:f>
        <x:v>0</x:v>
      </x:c>
      <x:c r="D5" s="8" t="n">
        <x:f>SUMIFS('Операции'!$J$2:$J$67,'Операции'!$D$2:$D$67,$A5,'Операции'!$F$2:$F$67,D$1)</x:f>
        <x:v>0</x:v>
      </x:c>
      <x:c r="E5" s="8" t="n">
        <x:f>SUMIFS('Операции'!$J$2:$J$67,'Операции'!$D$2:$D$67,$A5,'Операции'!$F$2:$F$67,E$1)</x:f>
        <x:v>0</x:v>
      </x:c>
      <x:c r="F5" s="8" t="n">
        <x:f>SUMIFS('Операции'!$J$2:$J$67,'Операции'!$D$2:$D$67,$A5,'Операции'!$F$2:$F$67,F$1)</x:f>
        <x:v>0</x:v>
      </x:c>
      <x:c r="G5" s="8" t="n">
        <x:f>SUMIFS('Операции'!$J$2:$J$67,'Операции'!$D$2:$D$67,$A5,'Операции'!$F$2:$F$67,G$1)</x:f>
        <x:v>0</x:v>
      </x:c>
      <x:c r="H5" s="8" t="n">
        <x:f>SUMIFS('Операции'!$J$2:$J$67,'Операции'!$D$2:$D$67,$A5,'Операции'!$F$2:$F$67,H$1)</x:f>
        <x:v>2850</x:v>
      </x:c>
      <x:c r="I5" s="8" t="n">
        <x:f>SUMIFS('Операции'!$J$2:$J$67,'Операции'!$D$2:$D$67,$A5,'Операции'!$F$2:$F$67,I$1)</x:f>
        <x:v>3420</x:v>
      </x:c>
      <x:c r="J5" s="8" t="n">
        <x:f>SUMIFS('Операции'!$J$2:$J$67,'Операции'!$D$2:$D$67,$A5,'Операции'!$F$2:$F$67,J$1)</x:f>
        <x:v>0</x:v>
      </x:c>
      <x:c r="K5" s="8" t="n">
        <x:f>SUM(B5:J5)</x:f>
        <x:v>9570</x:v>
      </x:c>
    </x:row>
    <x:row r="6" ht="27" customHeight="1">
      <x:c r="A6" s="2" t="str">
        <x:v>Сын Максим</x:v>
      </x:c>
      <x:c r="B6" s="8" t="n">
        <x:f>SUMIFS('Операции'!$J$2:$J$67,'Операции'!$D$2:$D$67,$A6,'Операции'!$F$2:$F$67,B$1)</x:f>
        <x:v>2070</x:v>
      </x:c>
      <x:c r="C6" s="8" t="n">
        <x:f>SUMIFS('Операции'!$J$2:$J$67,'Операции'!$D$2:$D$67,$A6,'Операции'!$F$2:$F$67,C$1)</x:f>
        <x:v>720</x:v>
      </x:c>
      <x:c r="D6" s="8" t="n">
        <x:f>SUMIFS('Операции'!$J$2:$J$67,'Операции'!$D$2:$D$67,$A6,'Операции'!$F$2:$F$67,D$1)</x:f>
        <x:v>0</x:v>
      </x:c>
      <x:c r="E6" s="8" t="n">
        <x:f>SUMIFS('Операции'!$J$2:$J$67,'Операции'!$D$2:$D$67,$A6,'Операции'!$F$2:$F$67,E$1)</x:f>
        <x:v>0</x:v>
      </x:c>
      <x:c r="F6" s="8" t="n">
        <x:f>SUMIFS('Операции'!$J$2:$J$67,'Операции'!$D$2:$D$67,$A6,'Операции'!$F$2:$F$67,F$1)</x:f>
        <x:v>0</x:v>
      </x:c>
      <x:c r="G6" s="8" t="n">
        <x:f>SUMIFS('Операции'!$J$2:$J$67,'Операции'!$D$2:$D$67,$A6,'Операции'!$F$2:$F$67,G$1)</x:f>
        <x:v>0</x:v>
      </x:c>
      <x:c r="H6" s="8" t="n">
        <x:f>SUMIFS('Операции'!$J$2:$J$67,'Операции'!$D$2:$D$67,$A6,'Операции'!$F$2:$F$67,H$1)</x:f>
        <x:v>0</x:v>
      </x:c>
      <x:c r="I6" s="8" t="n">
        <x:f>SUMIFS('Операции'!$J$2:$J$67,'Операции'!$D$2:$D$67,$A6,'Операции'!$F$2:$F$67,I$1)</x:f>
        <x:v>4050</x:v>
      </x:c>
      <x:c r="J6" s="8" t="n">
        <x:f>SUMIFS('Операции'!$J$2:$J$67,'Операции'!$D$2:$D$67,$A6,'Операции'!$F$2:$F$67,J$1)</x:f>
        <x:v>950</x:v>
      </x:c>
      <x:c r="K6" s="8" t="n">
        <x:f>SUM(B6:J6)</x:f>
        <x:v>7790</x:v>
      </x:c>
    </x:row>
    <x:row r="7" ht="27" customHeight="1">
      <x:c r="A7" s="12" t="str">
        <x:v>Итого</x:v>
      </x:c>
      <x:c r="B7" s="14" t="n">
        <x:f>SUM(B2:B6)</x:f>
        <x:v>27420</x:v>
      </x:c>
      <x:c r="C7" s="14" t="n">
        <x:f>SUM(C2:C6)</x:f>
        <x:v>14220</x:v>
      </x:c>
      <x:c r="D7" s="14" t="n">
        <x:f>SUM(D2:D6)</x:f>
        <x:v>22800</x:v>
      </x:c>
      <x:c r="E7" s="14" t="n">
        <x:f>SUM(E2:E6)</x:f>
        <x:v>5850</x:v>
      </x:c>
      <x:c r="F7" s="14" t="n">
        <x:f>SUM(F2:F6)</x:f>
        <x:v>7200</x:v>
      </x:c>
      <x:c r="G7" s="14" t="n">
        <x:f>SUM(G2:G6)</x:f>
        <x:v>9550</x:v>
      </x:c>
      <x:c r="H7" s="14" t="n">
        <x:f>SUM(H2:H6)</x:f>
        <x:v>30750</x:v>
      </x:c>
      <x:c r="I7" s="14" t="n">
        <x:f>SUM(I2:I6)</x:f>
        <x:v>9267</x:v>
      </x:c>
      <x:c r="J7" s="14" t="n">
        <x:f>SUM(J2:J6)</x:f>
        <x:v>950</x:v>
      </x:c>
      <x:c r="K7" s="14" t="n">
        <x:f>SUM(K2:K6)</x:f>
        <x:v>128007</x:v>
      </x:c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7" customHeight="1">
      <x:c r="A9" s="17" t="str">
        <x:v>В ячейках – покупки за вычетом возвратов. Это расходы плательщика, включая покупки для других членов семьи.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</x:sheetData>
  <x:mergeCells>
    <x:mergeCell ref="A9:K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6B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7" hidden="0" customWidth="1"/>
    <x:col min="5" max="5" width="23" hidden="0" customWidth="1"/>
    <x:col min="6" max="6" width="24" hidden="0" customWidth="1"/>
    <x:col min="7" max="7" width="42" hidden="0" customWidth="1"/>
    <x:col min="8" max="8" width="15" hidden="0" customWidth="1"/>
    <x:col min="9" max="9" width="19" hidden="0" customWidth="1"/>
    <x:col min="10" max="10" width="21" hidden="0" customWidth="1"/>
    <x:col min="11" max="11" width="24" hidden="0" customWidth="1"/>
    <x:col min="12" max="12" width="17" hidden="0" customWidth="1"/>
    <x:col min="13" max="13" width="55" hidden="0" customWidth="1"/>
  </x:cols>
  <x:sheetData>
    <x:row r="1" ht="32" customHeight="1">
      <x:c r="A1" s="6" t="str">
        <x:v>ID</x:v>
      </x:c>
      <x:c r="B1" s="6" t="str">
        <x:v>Дата</x:v>
      </x:c>
      <x:c r="C1" s="6" t="str">
        <x:v>Месяц</x:v>
      </x:c>
      <x:c r="D1" s="6" t="str">
        <x:v>Кто оплатил</x:v>
      </x:c>
      <x:c r="E1" s="6" t="str">
        <x:v>Для кого</x:v>
      </x:c>
      <x:c r="F1" s="6" t="str">
        <x:v>Категория</x:v>
      </x:c>
      <x:c r="G1" s="6" t="str">
        <x:v>Описание</x:v>
      </x:c>
      <x:c r="H1" s="6" t="str">
        <x:v>Тип</x:v>
      </x:c>
      <x:c r="I1" s="6" t="str">
        <x:v>Сумма, руб.</x:v>
      </x:c>
      <x:c r="J1" s="6" t="str">
        <x:v>В расходы, руб.</x:v>
      </x:c>
      <x:c r="K1" s="6" t="str">
        <x:v>Источник</x:v>
      </x:c>
      <x:c r="L1" s="6" t="str">
        <x:v>Страница PDF</x:v>
      </x:c>
      <x:c r="M1" s="6" t="str">
        <x:v>Нужно уточнить</x:v>
      </x:c>
    </x:row>
    <x:row r="2" ht="27" customHeight="1">
      <x:c r="A2" s="2" t="str">
        <x:v>F001</x:v>
      </x:c>
      <x:c r="B2" s="7" t="n">
        <x:v>46205</x:v>
      </x:c>
      <x:c r="C2" s="2" t="str">
        <x:v>2026-07</x:v>
      </x:c>
      <x:c r="D2" s="2" t="str">
        <x:v>Я</x:v>
      </x:c>
      <x:c r="E2" s="2" t="str">
        <x:v>Я</x:v>
      </x:c>
      <x:c r="F2" s="2" t="str">
        <x:v>Транспорт</x:v>
      </x:c>
      <x:c r="G2" s="2" t="str">
        <x:v>Бензин</x:v>
      </x:c>
      <x:c r="H2" s="2" t="str">
        <x:v>Расход</x:v>
      </x:c>
      <x:c r="I2" s="8" t="n">
        <x:v>2500</x:v>
      </x:c>
      <x:c r="J2" s="8" t="n">
        <x:f>IF(H2="Возврат",-I2,I2)</x:f>
        <x:v>2500</x:v>
      </x:c>
      <x:c r="K2" s="2" t="str">
        <x:v>M001</x:v>
      </x:c>
      <x:c r="L2" s="2" t="n">
        <x:v>2</x:v>
      </x:c>
      <x:c r="M2" s="2" t="str"/>
    </x:row>
    <x:row r="3" ht="27" customHeight="1">
      <x:c r="A3" s="2" t="str">
        <x:v>F002</x:v>
      </x:c>
      <x:c r="B3" s="7" t="n">
        <x:v>46206</x:v>
      </x:c>
      <x:c r="C3" s="2" t="str">
        <x:v>2026-07</x:v>
      </x:c>
      <x:c r="D3" s="2" t="str">
        <x:v>Я</x:v>
      </x:c>
      <x:c r="E3" s="2" t="str">
        <x:v>Общие расходы</x:v>
      </x:c>
      <x:c r="F3" s="2" t="str">
        <x:v>Еда</x:v>
      </x:c>
      <x:c r="G3" s="2" t="str">
        <x:v>Обед в ресторане</x:v>
      </x:c>
      <x:c r="H3" s="2" t="str">
        <x:v>Расход</x:v>
      </x:c>
      <x:c r="I3" s="8" t="n">
        <x:v>1450</x:v>
      </x:c>
      <x:c r="J3" s="8" t="n">
        <x:f>IF(H3="Возврат",-I3,I3)</x:f>
        <x:v>1450</x:v>
      </x:c>
      <x:c r="K3" s="2" t="str">
        <x:v>M002 / R01</x:v>
      </x:c>
      <x:c r="L3" s="2" t="n">
        <x:v>11</x:v>
      </x:c>
      <x:c r="M3" s="2" t="str"/>
    </x:row>
    <x:row r="4" ht="27" customHeight="1">
      <x:c r="A4" s="2" t="str">
        <x:v>F003</x:v>
      </x:c>
      <x:c r="B4" s="7" t="n">
        <x:v>46207</x:v>
      </x:c>
      <x:c r="C4" s="2" t="str">
        <x:v>2026-07</x:v>
      </x:c>
      <x:c r="D4" s="2" t="str">
        <x:v>Я</x:v>
      </x:c>
      <x:c r="E4" s="2" t="str">
        <x:v>Я</x:v>
      </x:c>
      <x:c r="F4" s="2" t="str">
        <x:v>Развлечения</x:v>
      </x:c>
      <x:c r="G4" s="2" t="str">
        <x:v>Подписка на музыку</x:v>
      </x:c>
      <x:c r="H4" s="2" t="str">
        <x:v>Расход</x:v>
      </x:c>
      <x:c r="I4" s="8" t="n">
        <x:v>599</x:v>
      </x:c>
      <x:c r="J4" s="8" t="n">
        <x:f>IF(H4="Возврат",-I4,I4)</x:f>
        <x:v>599</x:v>
      </x:c>
      <x:c r="K4" s="2" t="str">
        <x:v>M003</x:v>
      </x:c>
      <x:c r="L4" s="2" t="n">
        <x:v>2</x:v>
      </x:c>
      <x:c r="M4" s="2" t="str"/>
    </x:row>
    <x:row r="5" ht="27" customHeight="1">
      <x:c r="A5" s="2" t="str">
        <x:v>F004</x:v>
      </x:c>
      <x:c r="B5" s="7" t="n">
        <x:v>46208</x:v>
      </x:c>
      <x:c r="C5" s="2" t="str">
        <x:v>2026-07</x:v>
      </x:c>
      <x:c r="D5" s="2" t="str">
        <x:v>Я</x:v>
      </x:c>
      <x:c r="E5" s="2" t="str">
        <x:v>Общие расходы</x:v>
      </x:c>
      <x:c r="F5" s="2" t="str">
        <x:v>Дом и быт</x:v>
      </x:c>
      <x:c r="G5" s="2" t="str">
        <x:v>Квартплата</x:v>
      </x:c>
      <x:c r="H5" s="2" t="str">
        <x:v>Расход</x:v>
      </x:c>
      <x:c r="I5" s="8" t="n">
        <x:v>6500</x:v>
      </x:c>
      <x:c r="J5" s="8" t="n">
        <x:f>IF(H5="Возврат",-I5,I5)</x:f>
        <x:v>6500</x:v>
      </x:c>
      <x:c r="K5" s="2" t="str">
        <x:v>M004</x:v>
      </x:c>
      <x:c r="L5" s="2" t="n">
        <x:v>2</x:v>
      </x:c>
      <x:c r="M5" s="2" t="str"/>
    </x:row>
    <x:row r="6" ht="27" customHeight="1">
      <x:c r="A6" s="2" t="str">
        <x:v>F005.1</x:v>
      </x:c>
      <x:c r="B6" s="7" t="n">
        <x:v>46209</x:v>
      </x:c>
      <x:c r="C6" s="2" t="str">
        <x:v>2026-07</x:v>
      </x:c>
      <x:c r="D6" s="2" t="str">
        <x:v>Мама</x:v>
      </x:c>
      <x:c r="E6" s="2" t="str">
        <x:v>Общие расходы</x:v>
      </x:c>
      <x:c r="F6" s="2" t="str">
        <x:v>Еда</x:v>
      </x:c>
      <x:c r="G6" s="2" t="str">
        <x:v>Продукты</x:v>
      </x:c>
      <x:c r="H6" s="2" t="str">
        <x:v>Расход</x:v>
      </x:c>
      <x:c r="I6" s="8" t="n">
        <x:v>4500</x:v>
      </x:c>
      <x:c r="J6" s="8" t="n">
        <x:f>IF(H6="Возврат",-I6,I6)</x:f>
        <x:v>4500</x:v>
      </x:c>
      <x:c r="K6" s="2" t="str">
        <x:v>M005 / R02</x:v>
      </x:c>
      <x:c r="L6" s="2" t="n">
        <x:v>11</x:v>
      </x:c>
      <x:c r="M6" s="2" t="str"/>
    </x:row>
    <x:row r="7" ht="27" customHeight="1">
      <x:c r="A7" s="2" t="str">
        <x:v>F005.2</x:v>
      </x:c>
      <x:c r="B7" s="7" t="n">
        <x:v>46209</x:v>
      </x:c>
      <x:c r="C7" s="2" t="str">
        <x:v>2026-07</x:v>
      </x:c>
      <x:c r="D7" s="2" t="str">
        <x:v>Мама</x:v>
      </x:c>
      <x:c r="E7" s="2" t="str">
        <x:v>Общие расходы</x:v>
      </x:c>
      <x:c r="F7" s="2" t="str">
        <x:v>Дом и быт</x:v>
      </x:c>
      <x:c r="G7" s="2" t="str">
        <x:v>Средство для посуды и пакеты</x:v>
      </x:c>
      <x:c r="H7" s="2" t="str">
        <x:v>Расход</x:v>
      </x:c>
      <x:c r="I7" s="8" t="n">
        <x:v>800</x:v>
      </x:c>
      <x:c r="J7" s="8" t="n">
        <x:f>IF(H7="Возврат",-I7,I7)</x:f>
        <x:v>800</x:v>
      </x:c>
      <x:c r="K7" s="2" t="str">
        <x:v>M005 / R02</x:v>
      </x:c>
      <x:c r="L7" s="2" t="n">
        <x:v>11</x:v>
      </x:c>
      <x:c r="M7" s="2" t="str"/>
    </x:row>
    <x:row r="8" ht="27" customHeight="1">
      <x:c r="A8" s="2" t="str">
        <x:v>F006</x:v>
      </x:c>
      <x:c r="B8" s="7" t="n">
        <x:v>46210</x:v>
      </x:c>
      <x:c r="C8" s="2" t="str">
        <x:v>2026-07</x:v>
      </x:c>
      <x:c r="D8" s="2" t="str">
        <x:v>Мама</x:v>
      </x:c>
      <x:c r="E8" s="2" t="str">
        <x:v>Сын Илья</x:v>
      </x:c>
      <x:c r="F8" s="2" t="str">
        <x:v>Здоровье</x:v>
      </x:c>
      <x:c r="G8" s="2" t="str">
        <x:v>Аптека</x:v>
      </x:c>
      <x:c r="H8" s="2" t="str">
        <x:v>Расход</x:v>
      </x:c>
      <x:c r="I8" s="8" t="n">
        <x:v>1800</x:v>
      </x:c>
      <x:c r="J8" s="8" t="n">
        <x:f>IF(H8="Возврат",-I8,I8)</x:f>
        <x:v>1800</x:v>
      </x:c>
      <x:c r="K8" s="2" t="str">
        <x:v>M006</x:v>
      </x:c>
      <x:c r="L8" s="2" t="n">
        <x:v>2</x:v>
      </x:c>
      <x:c r="M8" s="2" t="str"/>
    </x:row>
    <x:row r="9" ht="27" customHeight="1">
      <x:c r="A9" s="2" t="str">
        <x:v>F007</x:v>
      </x:c>
      <x:c r="B9" s="7" t="n">
        <x:v>46211</x:v>
      </x:c>
      <x:c r="C9" s="2" t="str">
        <x:v>2026-07</x:v>
      </x:c>
      <x:c r="D9" s="2" t="str">
        <x:v>Мама</x:v>
      </x:c>
      <x:c r="E9" s="2" t="str">
        <x:v>Мама</x:v>
      </x:c>
      <x:c r="F9" s="2" t="str">
        <x:v>Уход за собой</x:v>
      </x:c>
      <x:c r="G9" s="2" t="str">
        <x:v>Крем и шампунь</x:v>
      </x:c>
      <x:c r="H9" s="2" t="str">
        <x:v>Расход</x:v>
      </x:c>
      <x:c r="I9" s="8" t="n">
        <x:v>2400</x:v>
      </x:c>
      <x:c r="J9" s="8" t="n">
        <x:f>IF(H9="Возврат",-I9,I9)</x:f>
        <x:v>2400</x:v>
      </x:c>
      <x:c r="K9" s="2" t="str">
        <x:v>M007 / R03</x:v>
      </x:c>
      <x:c r="L9" s="2" t="n">
        <x:v>12</x:v>
      </x:c>
      <x:c r="M9" s="2" t="str"/>
    </x:row>
    <x:row r="10" ht="27" customHeight="1">
      <x:c r="A10" s="2" t="str">
        <x:v>F008</x:v>
      </x:c>
      <x:c r="B10" s="7" t="n">
        <x:v>46212</x:v>
      </x:c>
      <x:c r="C10" s="2" t="str">
        <x:v>2026-07</x:v>
      </x:c>
      <x:c r="D10" s="2" t="str">
        <x:v>Мама</x:v>
      </x:c>
      <x:c r="E10" s="2" t="str">
        <x:v>Мама</x:v>
      </x:c>
      <x:c r="F10" s="2" t="str">
        <x:v>Транспорт</x:v>
      </x:c>
      <x:c r="G10" s="2" t="str">
        <x:v>Такси</x:v>
      </x:c>
      <x:c r="H10" s="2" t="str">
        <x:v>Расход</x:v>
      </x:c>
      <x:c r="I10" s="8" t="n">
        <x:v>750</x:v>
      </x:c>
      <x:c r="J10" s="8" t="n">
        <x:f>IF(H10="Возврат",-I10,I10)</x:f>
        <x:v>750</x:v>
      </x:c>
      <x:c r="K10" s="2" t="str">
        <x:v>M008</x:v>
      </x:c>
      <x:c r="L10" s="2" t="n">
        <x:v>2</x:v>
      </x:c>
      <x:c r="M10" s="2" t="str"/>
    </x:row>
    <x:row r="11" ht="27" customHeight="1">
      <x:c r="A11" s="2" t="str">
        <x:v>F009</x:v>
      </x:c>
      <x:c r="B11" s="7" t="n">
        <x:v>46213</x:v>
      </x:c>
      <x:c r="C11" s="2" t="str">
        <x:v>2026-07</x:v>
      </x:c>
      <x:c r="D11" s="2" t="str">
        <x:v>Дочь</x:v>
      </x:c>
      <x:c r="E11" s="2" t="str">
        <x:v>Дочь</x:v>
      </x:c>
      <x:c r="F11" s="2" t="str">
        <x:v>Еда</x:v>
      </x:c>
      <x:c r="G11" s="2" t="str">
        <x:v>Кофе и десерт</x:v>
      </x:c>
      <x:c r="H11" s="2" t="str">
        <x:v>Расход</x:v>
      </x:c>
      <x:c r="I11" s="8" t="n">
        <x:v>850</x:v>
      </x:c>
      <x:c r="J11" s="8" t="n">
        <x:f>IF(H11="Возврат",-I11,I11)</x:f>
        <x:v>850</x:v>
      </x:c>
      <x:c r="K11" s="2" t="str">
        <x:v>M009 / R04</x:v>
      </x:c>
      <x:c r="L11" s="2" t="n">
        <x:v>12</x:v>
      </x:c>
      <x:c r="M11" s="2" t="str"/>
    </x:row>
    <x:row r="12" ht="27" customHeight="1">
      <x:c r="A12" s="2" t="str">
        <x:v>F010</x:v>
      </x:c>
      <x:c r="B12" s="7" t="n">
        <x:v>46214</x:v>
      </x:c>
      <x:c r="C12" s="2" t="str">
        <x:v>2026-07</x:v>
      </x:c>
      <x:c r="D12" s="2" t="str">
        <x:v>Дочь</x:v>
      </x:c>
      <x:c r="E12" s="2" t="str">
        <x:v>Дочь</x:v>
      </x:c>
      <x:c r="F12" s="2" t="str">
        <x:v>Одежда</x:v>
      </x:c>
      <x:c r="G12" s="2" t="str">
        <x:v>Джинсы и футболка</x:v>
      </x:c>
      <x:c r="H12" s="2" t="str">
        <x:v>Расход</x:v>
      </x:c>
      <x:c r="I12" s="8" t="n">
        <x:v>4200</x:v>
      </x:c>
      <x:c r="J12" s="8" t="n">
        <x:f>IF(H12="Возврат",-I12,I12)</x:f>
        <x:v>4200</x:v>
      </x:c>
      <x:c r="K12" s="2" t="str">
        <x:v>M010</x:v>
      </x:c>
      <x:c r="L12" s="2" t="n">
        <x:v>3</x:v>
      </x:c>
      <x:c r="M12" s="2" t="str"/>
    </x:row>
    <x:row r="13" ht="27" customHeight="1">
      <x:c r="A13" s="2" t="str">
        <x:v>F011</x:v>
      </x:c>
      <x:c r="B13" s="7" t="n">
        <x:v>46215</x:v>
      </x:c>
      <x:c r="C13" s="2" t="str">
        <x:v>2026-07</x:v>
      </x:c>
      <x:c r="D13" s="2" t="str">
        <x:v>Мама</x:v>
      </x:c>
      <x:c r="E13" s="2" t="str">
        <x:v>Дочь</x:v>
      </x:c>
      <x:c r="F13" s="2" t="str">
        <x:v>Обучение и спорт</x:v>
      </x:c>
      <x:c r="G13" s="2" t="str">
        <x:v>Английский язык</x:v>
      </x:c>
      <x:c r="H13" s="2" t="str">
        <x:v>Расход</x:v>
      </x:c>
      <x:c r="I13" s="8" t="n">
        <x:v>3600</x:v>
      </x:c>
      <x:c r="J13" s="8" t="n">
        <x:f>IF(H13="Возврат",-I13,I13)</x:f>
        <x:v>3600</x:v>
      </x:c>
      <x:c r="K13" s="2" t="str">
        <x:v>M018 / D07</x:v>
      </x:c>
      <x:c r="L13" s="2" t="n">
        <x:v>19</x:v>
      </x:c>
      <x:c r="M13" s="2" t="str"/>
    </x:row>
    <x:row r="14" ht="27" customHeight="1">
      <x:c r="A14" s="2" t="str">
        <x:v>F012</x:v>
      </x:c>
      <x:c r="B14" s="7" t="n">
        <x:v>46216</x:v>
      </x:c>
      <x:c r="C14" s="2" t="str">
        <x:v>2026-07</x:v>
      </x:c>
      <x:c r="D14" s="2" t="str">
        <x:v>Дочь</x:v>
      </x:c>
      <x:c r="E14" s="2" t="str">
        <x:v>Дочь</x:v>
      </x:c>
      <x:c r="F14" s="2" t="str">
        <x:v>Транспорт</x:v>
      </x:c>
      <x:c r="G14" s="2" t="str">
        <x:v>Метро</x:v>
      </x:c>
      <x:c r="H14" s="2" t="str">
        <x:v>Расход</x:v>
      </x:c>
      <x:c r="I14" s="8" t="n">
        <x:v>450</x:v>
      </x:c>
      <x:c r="J14" s="8" t="n">
        <x:f>IF(H14="Возврат",-I14,I14)</x:f>
        <x:v>450</x:v>
      </x:c>
      <x:c r="K14" s="2" t="str">
        <x:v>M011</x:v>
      </x:c>
      <x:c r="L14" s="2" t="n">
        <x:v>3</x:v>
      </x:c>
      <x:c r="M14" s="2" t="str"/>
    </x:row>
    <x:row r="15" ht="27" customHeight="1">
      <x:c r="A15" s="2" t="str">
        <x:v>F013</x:v>
      </x:c>
      <x:c r="B15" s="7" t="n">
        <x:v>46217</x:v>
      </x:c>
      <x:c r="C15" s="2" t="str">
        <x:v>2026-07</x:v>
      </x:c>
      <x:c r="D15" s="2" t="str">
        <x:v>Мама</x:v>
      </x:c>
      <x:c r="E15" s="2" t="str">
        <x:v>Сын Илья</x:v>
      </x:c>
      <x:c r="F15" s="2" t="str">
        <x:v>Обучение и спорт</x:v>
      </x:c>
      <x:c r="G15" s="2" t="str">
        <x:v>Плавание</x:v>
      </x:c>
      <x:c r="H15" s="2" t="str">
        <x:v>Расход</x:v>
      </x:c>
      <x:c r="I15" s="8" t="n">
        <x:v>2800</x:v>
      </x:c>
      <x:c r="J15" s="8" t="n">
        <x:f>IF(H15="Возврат",-I15,I15)</x:f>
        <x:v>2800</x:v>
      </x:c>
      <x:c r="K15" s="2" t="str">
        <x:v>M018 / D07</x:v>
      </x:c>
      <x:c r="L15" s="2" t="n">
        <x:v>19</x:v>
      </x:c>
      <x:c r="M15" s="2" t="str"/>
    </x:row>
    <x:row r="16" ht="27" customHeight="1">
      <x:c r="A16" s="2" t="str">
        <x:v>F014</x:v>
      </x:c>
      <x:c r="B16" s="7" t="n">
        <x:v>46218</x:v>
      </x:c>
      <x:c r="C16" s="2" t="str">
        <x:v>2026-07</x:v>
      </x:c>
      <x:c r="D16" s="2" t="str">
        <x:v>Сын Илья</x:v>
      </x:c>
      <x:c r="E16" s="2" t="str">
        <x:v>Сын Илья</x:v>
      </x:c>
      <x:c r="F16" s="2" t="str">
        <x:v>Развлечения</x:v>
      </x:c>
      <x:c r="G16" s="2" t="str">
        <x:v>Игра</x:v>
      </x:c>
      <x:c r="H16" s="2" t="str">
        <x:v>Расход</x:v>
      </x:c>
      <x:c r="I16" s="8" t="n">
        <x:v>990</x:v>
      </x:c>
      <x:c r="J16" s="8" t="n">
        <x:f>IF(H16="Возврат",-I16,I16)</x:f>
        <x:v>990</x:v>
      </x:c>
      <x:c r="K16" s="2" t="str">
        <x:v>M012 / R05</x:v>
      </x:c>
      <x:c r="L16" s="2" t="n">
        <x:v>13</x:v>
      </x:c>
      <x:c r="M16" s="2" t="str"/>
    </x:row>
    <x:row r="17" ht="27" customHeight="1">
      <x:c r="A17" s="2" t="str">
        <x:v>F015</x:v>
      </x:c>
      <x:c r="B17" s="7" t="n">
        <x:v>46219</x:v>
      </x:c>
      <x:c r="C17" s="2" t="str">
        <x:v>2026-07</x:v>
      </x:c>
      <x:c r="D17" s="2" t="str">
        <x:v>Сын Илья</x:v>
      </x:c>
      <x:c r="E17" s="2" t="str">
        <x:v>Сын Илья</x:v>
      </x:c>
      <x:c r="F17" s="2" t="str">
        <x:v>Еда</x:v>
      </x:c>
      <x:c r="G17" s="2" t="str">
        <x:v>Обеды в столовой</x:v>
      </x:c>
      <x:c r="H17" s="2" t="str">
        <x:v>Расход</x:v>
      </x:c>
      <x:c r="I17" s="8" t="n">
        <x:v>1100</x:v>
      </x:c>
      <x:c r="J17" s="8" t="n">
        <x:f>IF(H17="Возврат",-I17,I17)</x:f>
        <x:v>1100</x:v>
      </x:c>
      <x:c r="K17" s="2" t="str">
        <x:v>M013</x:v>
      </x:c>
      <x:c r="L17" s="2" t="n">
        <x:v>3</x:v>
      </x:c>
      <x:c r="M17" s="2" t="str"/>
    </x:row>
    <x:row r="18" ht="27" customHeight="1">
      <x:c r="A18" s="2" t="str">
        <x:v>F016</x:v>
      </x:c>
      <x:c r="B18" s="7" t="n">
        <x:v>46220</x:v>
      </x:c>
      <x:c r="C18" s="2" t="str">
        <x:v>2026-07</x:v>
      </x:c>
      <x:c r="D18" s="2" t="str">
        <x:v>Сын Илья</x:v>
      </x:c>
      <x:c r="E18" s="2" t="str">
        <x:v>Сын Илья</x:v>
      </x:c>
      <x:c r="F18" s="2" t="str">
        <x:v>Обучение и спорт</x:v>
      </x:c>
      <x:c r="G18" s="2" t="str">
        <x:v>Тетради и ручки</x:v>
      </x:c>
      <x:c r="H18" s="2" t="str">
        <x:v>Расход</x:v>
      </x:c>
      <x:c r="I18" s="8" t="n">
        <x:v>650</x:v>
      </x:c>
      <x:c r="J18" s="8" t="n">
        <x:f>IF(H18="Возврат",-I18,I18)</x:f>
        <x:v>650</x:v>
      </x:c>
      <x:c r="K18" s="2" t="str">
        <x:v>M014</x:v>
      </x:c>
      <x:c r="L18" s="2" t="n">
        <x:v>3</x:v>
      </x:c>
      <x:c r="M18" s="2" t="str"/>
    </x:row>
    <x:row r="19" ht="27" customHeight="1">
      <x:c r="A19" s="2" t="str">
        <x:v>F017</x:v>
      </x:c>
      <x:c r="B19" s="7" t="n">
        <x:v>46221</x:v>
      </x:c>
      <x:c r="C19" s="2" t="str">
        <x:v>2026-07</x:v>
      </x:c>
      <x:c r="D19" s="2" t="str">
        <x:v>Я</x:v>
      </x:c>
      <x:c r="E19" s="2" t="str">
        <x:v>Сын Максим</x:v>
      </x:c>
      <x:c r="F19" s="2" t="str">
        <x:v>Обучение и спорт</x:v>
      </x:c>
      <x:c r="G19" s="2" t="str">
        <x:v>Футбол</x:v>
      </x:c>
      <x:c r="H19" s="2" t="str">
        <x:v>Расход</x:v>
      </x:c>
      <x:c r="I19" s="8" t="n">
        <x:v>2500</x:v>
      </x:c>
      <x:c r="J19" s="8" t="n">
        <x:f>IF(H19="Возврат",-I19,I19)</x:f>
        <x:v>2500</x:v>
      </x:c>
      <x:c r="K19" s="2" t="str">
        <x:v>M018 / D07</x:v>
      </x:c>
      <x:c r="L19" s="2" t="n">
        <x:v>19</x:v>
      </x:c>
      <x:c r="M19" s="2" t="str"/>
    </x:row>
    <x:row r="20" ht="27" customHeight="1">
      <x:c r="A20" s="12" t="str">
        <x:v>F018</x:v>
      </x:c>
      <x:c r="B20" s="13" t="n">
        <x:v>46222</x:v>
      </x:c>
      <x:c r="C20" s="12" t="str">
        <x:v>2026-07</x:v>
      </x:c>
      <x:c r="D20" s="12" t="str">
        <x:v>Сын Максим</x:v>
      </x:c>
      <x:c r="E20" s="12" t="str">
        <x:v>Сын Максим</x:v>
      </x:c>
      <x:c r="F20" s="12" t="str">
        <x:v>Нужно уточнить</x:v>
      </x:c>
      <x:c r="G20" s="12" t="str">
        <x:v>Покупка в магазине</x:v>
      </x:c>
      <x:c r="H20" s="12" t="str">
        <x:v>Расход</x:v>
      </x:c>
      <x:c r="I20" s="14" t="n">
        <x:v>950</x:v>
      </x:c>
      <x:c r="J20" s="14" t="n">
        <x:f>IF(H20="Возврат",-I20,I20)</x:f>
        <x:v>950</x:v>
      </x:c>
      <x:c r="K20" s="12" t="str">
        <x:v>M015</x:v>
      </x:c>
      <x:c r="L20" s="12" t="n">
        <x:v>3</x:v>
      </x:c>
      <x:c r="M20" s="12" t="str">
        <x:v>Не указано, что куплено; уточнить у Максима.</x:v>
      </x:c>
    </x:row>
    <x:row r="21" ht="27" customHeight="1">
      <x:c r="A21" s="2" t="str">
        <x:v>F019</x:v>
      </x:c>
      <x:c r="B21" s="7" t="n">
        <x:v>46223</x:v>
      </x:c>
      <x:c r="C21" s="2" t="str">
        <x:v>2026-07</x:v>
      </x:c>
      <x:c r="D21" s="2" t="str">
        <x:v>Сын Максим</x:v>
      </x:c>
      <x:c r="E21" s="2" t="str">
        <x:v>Сын Максим</x:v>
      </x:c>
      <x:c r="F21" s="2" t="str">
        <x:v>Транспорт</x:v>
      </x:c>
      <x:c r="G21" s="2" t="str">
        <x:v>Автобус</x:v>
      </x:c>
      <x:c r="H21" s="2" t="str">
        <x:v>Расход</x:v>
      </x:c>
      <x:c r="I21" s="8" t="n">
        <x:v>240</x:v>
      </x:c>
      <x:c r="J21" s="8" t="n">
        <x:f>IF(H21="Возврат",-I21,I21)</x:f>
        <x:v>240</x:v>
      </x:c>
      <x:c r="K21" s="2" t="str">
        <x:v>M016</x:v>
      </x:c>
      <x:c r="L21" s="2" t="n">
        <x:v>3</x:v>
      </x:c>
      <x:c r="M21" s="2" t="str"/>
    </x:row>
    <x:row r="22" ht="27" customHeight="1">
      <x:c r="A22" s="2" t="str">
        <x:v>F020</x:v>
      </x:c>
      <x:c r="B22" s="7" t="n">
        <x:v>46224</x:v>
      </x:c>
      <x:c r="C22" s="2" t="str">
        <x:v>2026-07</x:v>
      </x:c>
      <x:c r="D22" s="2" t="str">
        <x:v>Сын Максим</x:v>
      </x:c>
      <x:c r="E22" s="2" t="str">
        <x:v>Сын Максим</x:v>
      </x:c>
      <x:c r="F22" s="2" t="str">
        <x:v>Еда</x:v>
      </x:c>
      <x:c r="G22" s="2" t="str">
        <x:v>Перекус</x:v>
      </x:c>
      <x:c r="H22" s="2" t="str">
        <x:v>Расход</x:v>
      </x:c>
      <x:c r="I22" s="8" t="n">
        <x:v>390</x:v>
      </x:c>
      <x:c r="J22" s="8" t="n">
        <x:f>IF(H22="Возврат",-I22,I22)</x:f>
        <x:v>390</x:v>
      </x:c>
      <x:c r="K22" s="2" t="str">
        <x:v>M017</x:v>
      </x:c>
      <x:c r="L22" s="2" t="n">
        <x:v>4</x:v>
      </x:c>
      <x:c r="M22" s="2" t="str"/>
    </x:row>
    <x:row r="23" ht="27" customHeight="1">
      <x:c r="A23" s="2" t="str">
        <x:v>V01</x:v>
      </x:c>
      <x:c r="B23" s="7" t="n">
        <x:v>46227</x:v>
      </x:c>
      <x:c r="C23" s="2" t="str">
        <x:v>2026-07</x:v>
      </x:c>
      <x:c r="D23" s="2" t="str">
        <x:v>Дочь</x:v>
      </x:c>
      <x:c r="E23" s="2" t="str">
        <x:v>Дочь</x:v>
      </x:c>
      <x:c r="F23" s="2" t="str">
        <x:v>Одежда</x:v>
      </x:c>
      <x:c r="G23" s="2" t="str">
        <x:v>Возврат футболки</x:v>
      </x:c>
      <x:c r="H23" s="2" t="str">
        <x:v>Возврат</x:v>
      </x:c>
      <x:c r="I23" s="8" t="n">
        <x:v>800</x:v>
      </x:c>
      <x:c r="J23" s="8" t="n">
        <x:f>IF(H23="Возврат",-I23,I23)</x:f>
        <x:v>-800</x:v>
      </x:c>
      <x:c r="K23" s="2" t="str">
        <x:v>M019</x:v>
      </x:c>
      <x:c r="L23" s="2" t="n">
        <x:v>4</x:v>
      </x:c>
      <x:c r="M23" s="2" t="str"/>
    </x:row>
    <x:row r="24" ht="27" customHeight="1">
      <x:c r="A24" s="2" t="str">
        <x:v>F022</x:v>
      </x:c>
      <x:c r="B24" s="7" t="n">
        <x:v>46236</x:v>
      </x:c>
      <x:c r="C24" s="2" t="str">
        <x:v>2026-08</x:v>
      </x:c>
      <x:c r="D24" s="2" t="str">
        <x:v>Я</x:v>
      </x:c>
      <x:c r="E24" s="2" t="str">
        <x:v>Я</x:v>
      </x:c>
      <x:c r="F24" s="2" t="str">
        <x:v>Транспорт</x:v>
      </x:c>
      <x:c r="G24" s="2" t="str">
        <x:v>Бензин</x:v>
      </x:c>
      <x:c r="H24" s="2" t="str">
        <x:v>Расход</x:v>
      </x:c>
      <x:c r="I24" s="8" t="n">
        <x:v>2700</x:v>
      </x:c>
      <x:c r="J24" s="8" t="n">
        <x:f>IF(H24="Возврат",-I24,I24)</x:f>
        <x:v>2700</x:v>
      </x:c>
      <x:c r="K24" s="2" t="str">
        <x:v>M024</x:v>
      </x:c>
      <x:c r="L24" s="2" t="n">
        <x:v>4</x:v>
      </x:c>
      <x:c r="M24" s="2" t="str"/>
    </x:row>
    <x:row r="25" ht="27" customHeight="1">
      <x:c r="A25" s="2" t="str">
        <x:v>F023</x:v>
      </x:c>
      <x:c r="B25" s="7" t="n">
        <x:v>46237</x:v>
      </x:c>
      <x:c r="C25" s="2" t="str">
        <x:v>2026-08</x:v>
      </x:c>
      <x:c r="D25" s="2" t="str">
        <x:v>Я</x:v>
      </x:c>
      <x:c r="E25" s="2" t="str">
        <x:v>Общие расходы</x:v>
      </x:c>
      <x:c r="F25" s="2" t="str">
        <x:v>Еда</x:v>
      </x:c>
      <x:c r="G25" s="2" t="str">
        <x:v>Обед в ресторане</x:v>
      </x:c>
      <x:c r="H25" s="2" t="str">
        <x:v>Расход</x:v>
      </x:c>
      <x:c r="I25" s="8" t="n">
        <x:v>1600</x:v>
      </x:c>
      <x:c r="J25" s="8" t="n">
        <x:f>IF(H25="Возврат",-I25,I25)</x:f>
        <x:v>1600</x:v>
      </x:c>
      <x:c r="K25" s="2" t="str">
        <x:v>M025 / R06</x:v>
      </x:c>
      <x:c r="L25" s="2" t="n">
        <x:v>13</x:v>
      </x:c>
      <x:c r="M25" s="2" t="str"/>
    </x:row>
    <x:row r="26" ht="27" customHeight="1">
      <x:c r="A26" s="2" t="str">
        <x:v>F024</x:v>
      </x:c>
      <x:c r="B26" s="7" t="n">
        <x:v>46238</x:v>
      </x:c>
      <x:c r="C26" s="2" t="str">
        <x:v>2026-08</x:v>
      </x:c>
      <x:c r="D26" s="2" t="str">
        <x:v>Я</x:v>
      </x:c>
      <x:c r="E26" s="2" t="str">
        <x:v>Я</x:v>
      </x:c>
      <x:c r="F26" s="2" t="str">
        <x:v>Развлечения</x:v>
      </x:c>
      <x:c r="G26" s="2" t="str">
        <x:v>Подписка на музыку</x:v>
      </x:c>
      <x:c r="H26" s="2" t="str">
        <x:v>Расход</x:v>
      </x:c>
      <x:c r="I26" s="8" t="n">
        <x:v>599</x:v>
      </x:c>
      <x:c r="J26" s="8" t="n">
        <x:f>IF(H26="Возврат",-I26,I26)</x:f>
        <x:v>599</x:v>
      </x:c>
      <x:c r="K26" s="2" t="str">
        <x:v>M026</x:v>
      </x:c>
      <x:c r="L26" s="2" t="n">
        <x:v>5</x:v>
      </x:c>
      <x:c r="M26" s="2" t="str"/>
    </x:row>
    <x:row r="27" ht="27" customHeight="1">
      <x:c r="A27" s="2" t="str">
        <x:v>F025</x:v>
      </x:c>
      <x:c r="B27" s="7" t="n">
        <x:v>46239</x:v>
      </x:c>
      <x:c r="C27" s="2" t="str">
        <x:v>2026-08</x:v>
      </x:c>
      <x:c r="D27" s="2" t="str">
        <x:v>Я</x:v>
      </x:c>
      <x:c r="E27" s="2" t="str">
        <x:v>Общие расходы</x:v>
      </x:c>
      <x:c r="F27" s="2" t="str">
        <x:v>Дом и быт</x:v>
      </x:c>
      <x:c r="G27" s="2" t="str">
        <x:v>Квартплата</x:v>
      </x:c>
      <x:c r="H27" s="2" t="str">
        <x:v>Расход</x:v>
      </x:c>
      <x:c r="I27" s="8" t="n">
        <x:v>6800</x:v>
      </x:c>
      <x:c r="J27" s="8" t="n">
        <x:f>IF(H27="Возврат",-I27,I27)</x:f>
        <x:v>6800</x:v>
      </x:c>
      <x:c r="K27" s="2" t="str">
        <x:v>M027</x:v>
      </x:c>
      <x:c r="L27" s="2" t="n">
        <x:v>5</x:v>
      </x:c>
      <x:c r="M27" s="2" t="str"/>
    </x:row>
    <x:row r="28" ht="27" customHeight="1">
      <x:c r="A28" s="2" t="str">
        <x:v>F026.1</x:v>
      </x:c>
      <x:c r="B28" s="7" t="n">
        <x:v>46240</x:v>
      </x:c>
      <x:c r="C28" s="2" t="str">
        <x:v>2026-08</x:v>
      </x:c>
      <x:c r="D28" s="2" t="str">
        <x:v>Мама</x:v>
      </x:c>
      <x:c r="E28" s="2" t="str">
        <x:v>Общие расходы</x:v>
      </x:c>
      <x:c r="F28" s="2" t="str">
        <x:v>Еда</x:v>
      </x:c>
      <x:c r="G28" s="2" t="str">
        <x:v>Продукты</x:v>
      </x:c>
      <x:c r="H28" s="2" t="str">
        <x:v>Расход</x:v>
      </x:c>
      <x:c r="I28" s="8" t="n">
        <x:v>4700</x:v>
      </x:c>
      <x:c r="J28" s="8" t="n">
        <x:f>IF(H28="Возврат",-I28,I28)</x:f>
        <x:v>4700</x:v>
      </x:c>
      <x:c r="K28" s="2" t="str">
        <x:v>M028 / R07</x:v>
      </x:c>
      <x:c r="L28" s="2" t="n">
        <x:v>14</x:v>
      </x:c>
      <x:c r="M28" s="2" t="str"/>
    </x:row>
    <x:row r="29" ht="27" customHeight="1">
      <x:c r="A29" s="2" t="str">
        <x:v>F026.2</x:v>
      </x:c>
      <x:c r="B29" s="7" t="n">
        <x:v>46240</x:v>
      </x:c>
      <x:c r="C29" s="2" t="str">
        <x:v>2026-08</x:v>
      </x:c>
      <x:c r="D29" s="2" t="str">
        <x:v>Мама</x:v>
      </x:c>
      <x:c r="E29" s="2" t="str">
        <x:v>Общие расходы</x:v>
      </x:c>
      <x:c r="F29" s="2" t="str">
        <x:v>Дом и быт</x:v>
      </x:c>
      <x:c r="G29" s="2" t="str">
        <x:v>Средство для посуды и пакеты</x:v>
      </x:c>
      <x:c r="H29" s="2" t="str">
        <x:v>Расход</x:v>
      </x:c>
      <x:c r="I29" s="8" t="n">
        <x:v>800</x:v>
      </x:c>
      <x:c r="J29" s="8" t="n">
        <x:f>IF(H29="Возврат",-I29,I29)</x:f>
        <x:v>800</x:v>
      </x:c>
      <x:c r="K29" s="2" t="str">
        <x:v>M028 / R07</x:v>
      </x:c>
      <x:c r="L29" s="2" t="n">
        <x:v>14</x:v>
      </x:c>
      <x:c r="M29" s="2" t="str"/>
    </x:row>
    <x:row r="30" ht="27" customHeight="1">
      <x:c r="A30" s="2" t="str">
        <x:v>F027</x:v>
      </x:c>
      <x:c r="B30" s="7" t="n">
        <x:v>46241</x:v>
      </x:c>
      <x:c r="C30" s="2" t="str">
        <x:v>2026-08</x:v>
      </x:c>
      <x:c r="D30" s="2" t="str">
        <x:v>Мама</x:v>
      </x:c>
      <x:c r="E30" s="2" t="str">
        <x:v>Мама</x:v>
      </x:c>
      <x:c r="F30" s="2" t="str">
        <x:v>Здоровье</x:v>
      </x:c>
      <x:c r="G30" s="2" t="str">
        <x:v>Аптека</x:v>
      </x:c>
      <x:c r="H30" s="2" t="str">
        <x:v>Расход</x:v>
      </x:c>
      <x:c r="I30" s="8" t="n">
        <x:v>1950</x:v>
      </x:c>
      <x:c r="J30" s="8" t="n">
        <x:f>IF(H30="Возврат",-I30,I30)</x:f>
        <x:v>1950</x:v>
      </x:c>
      <x:c r="K30" s="2" t="str">
        <x:v>M029</x:v>
      </x:c>
      <x:c r="L30" s="2" t="n">
        <x:v>5</x:v>
      </x:c>
      <x:c r="M30" s="2" t="str"/>
    </x:row>
    <x:row r="31" ht="27" customHeight="1">
      <x:c r="A31" s="2" t="str">
        <x:v>F028</x:v>
      </x:c>
      <x:c r="B31" s="7" t="n">
        <x:v>46242</x:v>
      </x:c>
      <x:c r="C31" s="2" t="str">
        <x:v>2026-08</x:v>
      </x:c>
      <x:c r="D31" s="2" t="str">
        <x:v>Мама</x:v>
      </x:c>
      <x:c r="E31" s="2" t="str">
        <x:v>Мама</x:v>
      </x:c>
      <x:c r="F31" s="2" t="str">
        <x:v>Уход за собой</x:v>
      </x:c>
      <x:c r="G31" s="2" t="str">
        <x:v>Крем и шампунь</x:v>
      </x:c>
      <x:c r="H31" s="2" t="str">
        <x:v>Расход</x:v>
      </x:c>
      <x:c r="I31" s="8" t="n">
        <x:v>2400</x:v>
      </x:c>
      <x:c r="J31" s="8" t="n">
        <x:f>IF(H31="Возврат",-I31,I31)</x:f>
        <x:v>2400</x:v>
      </x:c>
      <x:c r="K31" s="2" t="str">
        <x:v>M030 / R08</x:v>
      </x:c>
      <x:c r="L31" s="2" t="n">
        <x:v>14</x:v>
      </x:c>
      <x:c r="M31" s="2" t="str"/>
    </x:row>
    <x:row r="32" ht="27" customHeight="1">
      <x:c r="A32" s="2" t="str">
        <x:v>F029</x:v>
      </x:c>
      <x:c r="B32" s="7" t="n">
        <x:v>46243</x:v>
      </x:c>
      <x:c r="C32" s="2" t="str">
        <x:v>2026-08</x:v>
      </x:c>
      <x:c r="D32" s="2" t="str">
        <x:v>Мама</x:v>
      </x:c>
      <x:c r="E32" s="2" t="str">
        <x:v>Мама</x:v>
      </x:c>
      <x:c r="F32" s="2" t="str">
        <x:v>Транспорт</x:v>
      </x:c>
      <x:c r="G32" s="2" t="str">
        <x:v>Такси</x:v>
      </x:c>
      <x:c r="H32" s="2" t="str">
        <x:v>Расход</x:v>
      </x:c>
      <x:c r="I32" s="8" t="n">
        <x:v>1050</x:v>
      </x:c>
      <x:c r="J32" s="8" t="n">
        <x:f>IF(H32="Возврат",-I32,I32)</x:f>
        <x:v>1050</x:v>
      </x:c>
      <x:c r="K32" s="2" t="str">
        <x:v>M031</x:v>
      </x:c>
      <x:c r="L32" s="2" t="n">
        <x:v>5</x:v>
      </x:c>
      <x:c r="M32" s="2" t="str"/>
    </x:row>
    <x:row r="33" ht="27" customHeight="1">
      <x:c r="A33" s="2" t="str">
        <x:v>F030</x:v>
      </x:c>
      <x:c r="B33" s="7" t="n">
        <x:v>46244</x:v>
      </x:c>
      <x:c r="C33" s="2" t="str">
        <x:v>2026-08</x:v>
      </x:c>
      <x:c r="D33" s="2" t="str">
        <x:v>Дочь</x:v>
      </x:c>
      <x:c r="E33" s="2" t="str">
        <x:v>Дочь</x:v>
      </x:c>
      <x:c r="F33" s="2" t="str">
        <x:v>Еда</x:v>
      </x:c>
      <x:c r="G33" s="2" t="str">
        <x:v>Кофе и десерт</x:v>
      </x:c>
      <x:c r="H33" s="2" t="str">
        <x:v>Расход</x:v>
      </x:c>
      <x:c r="I33" s="8" t="n">
        <x:v>1050</x:v>
      </x:c>
      <x:c r="J33" s="8" t="n">
        <x:f>IF(H33="Возврат",-I33,I33)</x:f>
        <x:v>1050</x:v>
      </x:c>
      <x:c r="K33" s="2" t="str">
        <x:v>M032 / R09</x:v>
      </x:c>
      <x:c r="L33" s="2" t="n">
        <x:v>15</x:v>
      </x:c>
      <x:c r="M33" s="2" t="str"/>
    </x:row>
    <x:row r="34" ht="27" customHeight="1">
      <x:c r="A34" s="2" t="str">
        <x:v>F031</x:v>
      </x:c>
      <x:c r="B34" s="7" t="n">
        <x:v>46245</x:v>
      </x:c>
      <x:c r="C34" s="2" t="str">
        <x:v>2026-08</x:v>
      </x:c>
      <x:c r="D34" s="2" t="str">
        <x:v>Дочь</x:v>
      </x:c>
      <x:c r="E34" s="2" t="str">
        <x:v>Дочь</x:v>
      </x:c>
      <x:c r="F34" s="2" t="str">
        <x:v>Одежда</x:v>
      </x:c>
      <x:c r="G34" s="2" t="str">
        <x:v>Джинсы и футболка</x:v>
      </x:c>
      <x:c r="H34" s="2" t="str">
        <x:v>Расход</x:v>
      </x:c>
      <x:c r="I34" s="8" t="n">
        <x:v>4350</x:v>
      </x:c>
      <x:c r="J34" s="8" t="n">
        <x:f>IF(H34="Возврат",-I34,I34)</x:f>
        <x:v>4350</x:v>
      </x:c>
      <x:c r="K34" s="2" t="str">
        <x:v>M033</x:v>
      </x:c>
      <x:c r="L34" s="2" t="n">
        <x:v>6</x:v>
      </x:c>
      <x:c r="M34" s="2" t="str"/>
    </x:row>
    <x:row r="35" ht="27" customHeight="1">
      <x:c r="A35" s="2" t="str">
        <x:v>F032</x:v>
      </x:c>
      <x:c r="B35" s="7" t="n">
        <x:v>46246</x:v>
      </x:c>
      <x:c r="C35" s="2" t="str">
        <x:v>2026-08</x:v>
      </x:c>
      <x:c r="D35" s="2" t="str">
        <x:v>Мама</x:v>
      </x:c>
      <x:c r="E35" s="2" t="str">
        <x:v>Дочь</x:v>
      </x:c>
      <x:c r="F35" s="2" t="str">
        <x:v>Обучение и спорт</x:v>
      </x:c>
      <x:c r="G35" s="2" t="str">
        <x:v>Английский язык</x:v>
      </x:c>
      <x:c r="H35" s="2" t="str">
        <x:v>Расход</x:v>
      </x:c>
      <x:c r="I35" s="8" t="n">
        <x:v>3600</x:v>
      </x:c>
      <x:c r="J35" s="8" t="n">
        <x:f>IF(H35="Возврат",-I35,I35)</x:f>
        <x:v>3600</x:v>
      </x:c>
      <x:c r="K35" s="2" t="str">
        <x:v>M041 / D08</x:v>
      </x:c>
      <x:c r="L35" s="2" t="n">
        <x:v>20</x:v>
      </x:c>
      <x:c r="M35" s="2" t="str"/>
    </x:row>
    <x:row r="36" ht="27" customHeight="1">
      <x:c r="A36" s="2" t="str">
        <x:v>F033</x:v>
      </x:c>
      <x:c r="B36" s="7" t="n">
        <x:v>46247</x:v>
      </x:c>
      <x:c r="C36" s="2" t="str">
        <x:v>2026-08</x:v>
      </x:c>
      <x:c r="D36" s="2" t="str">
        <x:v>Дочь</x:v>
      </x:c>
      <x:c r="E36" s="2" t="str">
        <x:v>Дочь</x:v>
      </x:c>
      <x:c r="F36" s="2" t="str">
        <x:v>Транспорт</x:v>
      </x:c>
      <x:c r="G36" s="2" t="str">
        <x:v>Метро</x:v>
      </x:c>
      <x:c r="H36" s="2" t="str">
        <x:v>Расход</x:v>
      </x:c>
      <x:c r="I36" s="8" t="n">
        <x:v>750</x:v>
      </x:c>
      <x:c r="J36" s="8" t="n">
        <x:f>IF(H36="Возврат",-I36,I36)</x:f>
        <x:v>750</x:v>
      </x:c>
      <x:c r="K36" s="2" t="str">
        <x:v>M034</x:v>
      </x:c>
      <x:c r="L36" s="2" t="n">
        <x:v>6</x:v>
      </x:c>
      <x:c r="M36" s="2" t="str"/>
    </x:row>
    <x:row r="37" ht="27" customHeight="1">
      <x:c r="A37" s="2" t="str">
        <x:v>F034</x:v>
      </x:c>
      <x:c r="B37" s="7" t="n">
        <x:v>46248</x:v>
      </x:c>
      <x:c r="C37" s="2" t="str">
        <x:v>2026-08</x:v>
      </x:c>
      <x:c r="D37" s="2" t="str">
        <x:v>Мама</x:v>
      </x:c>
      <x:c r="E37" s="2" t="str">
        <x:v>Сын Илья</x:v>
      </x:c>
      <x:c r="F37" s="2" t="str">
        <x:v>Обучение и спорт</x:v>
      </x:c>
      <x:c r="G37" s="2" t="str">
        <x:v>Плавание</x:v>
      </x:c>
      <x:c r="H37" s="2" t="str">
        <x:v>Расход</x:v>
      </x:c>
      <x:c r="I37" s="8" t="n">
        <x:v>3000</x:v>
      </x:c>
      <x:c r="J37" s="8" t="n">
        <x:f>IF(H37="Возврат",-I37,I37)</x:f>
        <x:v>3000</x:v>
      </x:c>
      <x:c r="K37" s="2" t="str">
        <x:v>M041 / D08</x:v>
      </x:c>
      <x:c r="L37" s="2" t="n">
        <x:v>20</x:v>
      </x:c>
      <x:c r="M37" s="2" t="str"/>
    </x:row>
    <x:row r="38" ht="27" customHeight="1">
      <x:c r="A38" s="2" t="str">
        <x:v>F035</x:v>
      </x:c>
      <x:c r="B38" s="7" t="n">
        <x:v>46249</x:v>
      </x:c>
      <x:c r="C38" s="2" t="str">
        <x:v>2026-08</x:v>
      </x:c>
      <x:c r="D38" s="2" t="str">
        <x:v>Сын Илья</x:v>
      </x:c>
      <x:c r="E38" s="2" t="str">
        <x:v>Сын Илья</x:v>
      </x:c>
      <x:c r="F38" s="2" t="str">
        <x:v>Развлечения</x:v>
      </x:c>
      <x:c r="G38" s="2" t="str">
        <x:v>Игра</x:v>
      </x:c>
      <x:c r="H38" s="2" t="str">
        <x:v>Расход</x:v>
      </x:c>
      <x:c r="I38" s="8" t="n">
        <x:v>1140</x:v>
      </x:c>
      <x:c r="J38" s="8" t="n">
        <x:f>IF(H38="Возврат",-I38,I38)</x:f>
        <x:v>1140</x:v>
      </x:c>
      <x:c r="K38" s="2" t="str">
        <x:v>M035 / R10</x:v>
      </x:c>
      <x:c r="L38" s="2" t="n">
        <x:v>15</x:v>
      </x:c>
      <x:c r="M38" s="2" t="str"/>
    </x:row>
    <x:row r="39" ht="27" customHeight="1">
      <x:c r="A39" s="2" t="str">
        <x:v>F036</x:v>
      </x:c>
      <x:c r="B39" s="7" t="n">
        <x:v>46250</x:v>
      </x:c>
      <x:c r="C39" s="2" t="str">
        <x:v>2026-08</x:v>
      </x:c>
      <x:c r="D39" s="2" t="str">
        <x:v>Сын Илья</x:v>
      </x:c>
      <x:c r="E39" s="2" t="str">
        <x:v>Сын Илья</x:v>
      </x:c>
      <x:c r="F39" s="2" t="str">
        <x:v>Еда</x:v>
      </x:c>
      <x:c r="G39" s="2" t="str">
        <x:v>Обеды в столовой</x:v>
      </x:c>
      <x:c r="H39" s="2" t="str">
        <x:v>Расход</x:v>
      </x:c>
      <x:c r="I39" s="8" t="n">
        <x:v>1100</x:v>
      </x:c>
      <x:c r="J39" s="8" t="n">
        <x:f>IF(H39="Возврат",-I39,I39)</x:f>
        <x:v>1100</x:v>
      </x:c>
      <x:c r="K39" s="2" t="str">
        <x:v>M036</x:v>
      </x:c>
      <x:c r="L39" s="2" t="n">
        <x:v>6</x:v>
      </x:c>
      <x:c r="M39" s="2" t="str"/>
    </x:row>
    <x:row r="40" ht="27" customHeight="1">
      <x:c r="A40" s="2" t="str">
        <x:v>F037</x:v>
      </x:c>
      <x:c r="B40" s="7" t="n">
        <x:v>46251</x:v>
      </x:c>
      <x:c r="C40" s="2" t="str">
        <x:v>2026-08</x:v>
      </x:c>
      <x:c r="D40" s="2" t="str">
        <x:v>Сын Илья</x:v>
      </x:c>
      <x:c r="E40" s="2" t="str">
        <x:v>Сын Илья</x:v>
      </x:c>
      <x:c r="F40" s="2" t="str">
        <x:v>Обучение и спорт</x:v>
      </x:c>
      <x:c r="G40" s="2" t="str">
        <x:v>Тетради и ручки</x:v>
      </x:c>
      <x:c r="H40" s="2" t="str">
        <x:v>Расход</x:v>
      </x:c>
      <x:c r="I40" s="8" t="n">
        <x:v>950</x:v>
      </x:c>
      <x:c r="J40" s="8" t="n">
        <x:f>IF(H40="Возврат",-I40,I40)</x:f>
        <x:v>950</x:v>
      </x:c>
      <x:c r="K40" s="2" t="str">
        <x:v>M037</x:v>
      </x:c>
      <x:c r="L40" s="2" t="n">
        <x:v>6</x:v>
      </x:c>
      <x:c r="M40" s="2" t="str"/>
    </x:row>
    <x:row r="41" ht="27" customHeight="1">
      <x:c r="A41" s="2" t="str">
        <x:v>F038</x:v>
      </x:c>
      <x:c r="B41" s="7" t="n">
        <x:v>46252</x:v>
      </x:c>
      <x:c r="C41" s="2" t="str">
        <x:v>2026-08</x:v>
      </x:c>
      <x:c r="D41" s="2" t="str">
        <x:v>Я</x:v>
      </x:c>
      <x:c r="E41" s="2" t="str">
        <x:v>Сын Максим</x:v>
      </x:c>
      <x:c r="F41" s="2" t="str">
        <x:v>Обучение и спорт</x:v>
      </x:c>
      <x:c r="G41" s="2" t="str">
        <x:v>Футбол</x:v>
      </x:c>
      <x:c r="H41" s="2" t="str">
        <x:v>Расход</x:v>
      </x:c>
      <x:c r="I41" s="8" t="n">
        <x:v>2700</x:v>
      </x:c>
      <x:c r="J41" s="8" t="n">
        <x:f>IF(H41="Возврат",-I41,I41)</x:f>
        <x:v>2700</x:v>
      </x:c>
      <x:c r="K41" s="2" t="str">
        <x:v>M041 / D08</x:v>
      </x:c>
      <x:c r="L41" s="2" t="n">
        <x:v>20</x:v>
      </x:c>
      <x:c r="M41" s="2" t="str"/>
    </x:row>
    <x:row r="42" ht="27" customHeight="1">
      <x:c r="A42" s="2" t="str">
        <x:v>F039</x:v>
      </x:c>
      <x:c r="B42" s="7" t="n">
        <x:v>46253</x:v>
      </x:c>
      <x:c r="C42" s="2" t="str">
        <x:v>2026-08</x:v>
      </x:c>
      <x:c r="D42" s="2" t="str">
        <x:v>Сын Максим</x:v>
      </x:c>
      <x:c r="E42" s="2" t="str">
        <x:v>Сын Максим</x:v>
      </x:c>
      <x:c r="F42" s="2" t="str">
        <x:v>Развлечения</x:v>
      </x:c>
      <x:c r="G42" s="2" t="str">
        <x:v>Конструктор</x:v>
      </x:c>
      <x:c r="H42" s="2" t="str">
        <x:v>Расход</x:v>
      </x:c>
      <x:c r="I42" s="8" t="n">
        <x:v>1950</x:v>
      </x:c>
      <x:c r="J42" s="8" t="n">
        <x:f>IF(H42="Возврат",-I42,I42)</x:f>
        <x:v>1950</x:v>
      </x:c>
      <x:c r="K42" s="2" t="str">
        <x:v>M038</x:v>
      </x:c>
      <x:c r="L42" s="2" t="n">
        <x:v>6</x:v>
      </x:c>
      <x:c r="M42" s="2" t="str"/>
    </x:row>
    <x:row r="43" ht="27" customHeight="1">
      <x:c r="A43" s="2" t="str">
        <x:v>F040</x:v>
      </x:c>
      <x:c r="B43" s="7" t="n">
        <x:v>46254</x:v>
      </x:c>
      <x:c r="C43" s="2" t="str">
        <x:v>2026-08</x:v>
      </x:c>
      <x:c r="D43" s="2" t="str">
        <x:v>Сын Максим</x:v>
      </x:c>
      <x:c r="E43" s="2" t="str">
        <x:v>Сын Максим</x:v>
      </x:c>
      <x:c r="F43" s="2" t="str">
        <x:v>Транспорт</x:v>
      </x:c>
      <x:c r="G43" s="2" t="str">
        <x:v>Автобус</x:v>
      </x:c>
      <x:c r="H43" s="2" t="str">
        <x:v>Расход</x:v>
      </x:c>
      <x:c r="I43" s="8" t="n">
        <x:v>240</x:v>
      </x:c>
      <x:c r="J43" s="8" t="n">
        <x:f>IF(H43="Возврат",-I43,I43)</x:f>
        <x:v>240</x:v>
      </x:c>
      <x:c r="K43" s="2" t="str">
        <x:v>M039</x:v>
      </x:c>
      <x:c r="L43" s="2" t="n">
        <x:v>6</x:v>
      </x:c>
      <x:c r="M43" s="2" t="str"/>
    </x:row>
    <x:row r="44" ht="27" customHeight="1">
      <x:c r="A44" s="2" t="str">
        <x:v>F041</x:v>
      </x:c>
      <x:c r="B44" s="7" t="n">
        <x:v>46255</x:v>
      </x:c>
      <x:c r="C44" s="2" t="str">
        <x:v>2026-08</x:v>
      </x:c>
      <x:c r="D44" s="2" t="str">
        <x:v>Сын Максим</x:v>
      </x:c>
      <x:c r="E44" s="2" t="str">
        <x:v>Сын Максим</x:v>
      </x:c>
      <x:c r="F44" s="2" t="str">
        <x:v>Еда</x:v>
      </x:c>
      <x:c r="G44" s="2" t="str">
        <x:v>Перекус</x:v>
      </x:c>
      <x:c r="H44" s="2" t="str">
        <x:v>Расход</x:v>
      </x:c>
      <x:c r="I44" s="8" t="n">
        <x:v>690</x:v>
      </x:c>
      <x:c r="J44" s="8" t="n">
        <x:f>IF(H44="Возврат",-I44,I44)</x:f>
        <x:v>690</x:v>
      </x:c>
      <x:c r="K44" s="2" t="str">
        <x:v>M040</x:v>
      </x:c>
      <x:c r="L44" s="2" t="n">
        <x:v>6</x:v>
      </x:c>
      <x:c r="M44" s="2" t="str"/>
    </x:row>
    <x:row r="45" ht="27" customHeight="1">
      <x:c r="A45" s="2" t="str">
        <x:v>V02</x:v>
      </x:c>
      <x:c r="B45" s="7" t="n">
        <x:v>46258</x:v>
      </x:c>
      <x:c r="C45" s="2" t="str">
        <x:v>2026-08</x:v>
      </x:c>
      <x:c r="D45" s="2" t="str">
        <x:v>Дочь</x:v>
      </x:c>
      <x:c r="E45" s="2" t="str">
        <x:v>Дочь</x:v>
      </x:c>
      <x:c r="F45" s="2" t="str">
        <x:v>Одежда</x:v>
      </x:c>
      <x:c r="G45" s="2" t="str">
        <x:v>Возврат футболки</x:v>
      </x:c>
      <x:c r="H45" s="2" t="str">
        <x:v>Возврат</x:v>
      </x:c>
      <x:c r="I45" s="8" t="n">
        <x:v>1200</x:v>
      </x:c>
      <x:c r="J45" s="8" t="n">
        <x:f>IF(H45="Возврат",-I45,I45)</x:f>
        <x:v>-1200</x:v>
      </x:c>
      <x:c r="K45" s="2" t="str">
        <x:v>M042</x:v>
      </x:c>
      <x:c r="L45" s="2" t="n">
        <x:v>7</x:v>
      </x:c>
      <x:c r="M45" s="2" t="str"/>
    </x:row>
    <x:row r="46" ht="27" customHeight="1">
      <x:c r="A46" s="2" t="str">
        <x:v>F043</x:v>
      </x:c>
      <x:c r="B46" s="7" t="n">
        <x:v>46267</x:v>
      </x:c>
      <x:c r="C46" s="2" t="str">
        <x:v>2026-09</x:v>
      </x:c>
      <x:c r="D46" s="2" t="str">
        <x:v>Я</x:v>
      </x:c>
      <x:c r="E46" s="2" t="str">
        <x:v>Я</x:v>
      </x:c>
      <x:c r="F46" s="2" t="str">
        <x:v>Транспорт</x:v>
      </x:c>
      <x:c r="G46" s="2" t="str">
        <x:v>Бензин</x:v>
      </x:c>
      <x:c r="H46" s="2" t="str">
        <x:v>Расход</x:v>
      </x:c>
      <x:c r="I46" s="8" t="n">
        <x:v>2900</x:v>
      </x:c>
      <x:c r="J46" s="8" t="n">
        <x:f>IF(H46="Возврат",-I46,I46)</x:f>
        <x:v>2900</x:v>
      </x:c>
      <x:c r="K46" s="2" t="str">
        <x:v>M046</x:v>
      </x:c>
      <x:c r="L46" s="2" t="n">
        <x:v>7</x:v>
      </x:c>
      <x:c r="M46" s="2" t="str"/>
    </x:row>
    <x:row r="47" ht="27" customHeight="1">
      <x:c r="A47" s="2" t="str">
        <x:v>F044</x:v>
      </x:c>
      <x:c r="B47" s="7" t="n">
        <x:v>46268</x:v>
      </x:c>
      <x:c r="C47" s="2" t="str">
        <x:v>2026-09</x:v>
      </x:c>
      <x:c r="D47" s="2" t="str">
        <x:v>Я</x:v>
      </x:c>
      <x:c r="E47" s="2" t="str">
        <x:v>Общие расходы</x:v>
      </x:c>
      <x:c r="F47" s="2" t="str">
        <x:v>Еда</x:v>
      </x:c>
      <x:c r="G47" s="2" t="str">
        <x:v>Обед в ресторане</x:v>
      </x:c>
      <x:c r="H47" s="2" t="str">
        <x:v>Расход</x:v>
      </x:c>
      <x:c r="I47" s="8" t="n">
        <x:v>1750</x:v>
      </x:c>
      <x:c r="J47" s="8" t="n">
        <x:f>IF(H47="Возврат",-I47,I47)</x:f>
        <x:v>1750</x:v>
      </x:c>
      <x:c r="K47" s="2" t="str">
        <x:v>M047 / R11</x:v>
      </x:c>
      <x:c r="L47" s="2" t="n">
        <x:v>16</x:v>
      </x:c>
      <x:c r="M47" s="2" t="str"/>
    </x:row>
    <x:row r="48" ht="27" customHeight="1">
      <x:c r="A48" s="2" t="str">
        <x:v>F045</x:v>
      </x:c>
      <x:c r="B48" s="7" t="n">
        <x:v>46269</x:v>
      </x:c>
      <x:c r="C48" s="2" t="str">
        <x:v>2026-09</x:v>
      </x:c>
      <x:c r="D48" s="2" t="str">
        <x:v>Я</x:v>
      </x:c>
      <x:c r="E48" s="2" t="str">
        <x:v>Я</x:v>
      </x:c>
      <x:c r="F48" s="2" t="str">
        <x:v>Развлечения</x:v>
      </x:c>
      <x:c r="G48" s="2" t="str">
        <x:v>Подписка на музыку</x:v>
      </x:c>
      <x:c r="H48" s="2" t="str">
        <x:v>Расход</x:v>
      </x:c>
      <x:c r="I48" s="8" t="n">
        <x:v>599</x:v>
      </x:c>
      <x:c r="J48" s="8" t="n">
        <x:f>IF(H48="Возврат",-I48,I48)</x:f>
        <x:v>599</x:v>
      </x:c>
      <x:c r="K48" s="2" t="str">
        <x:v>M048</x:v>
      </x:c>
      <x:c r="L48" s="2" t="n">
        <x:v>7</x:v>
      </x:c>
      <x:c r="M48" s="2" t="str"/>
    </x:row>
    <x:row r="49" ht="27" customHeight="1">
      <x:c r="A49" s="2" t="str">
        <x:v>F046</x:v>
      </x:c>
      <x:c r="B49" s="7" t="n">
        <x:v>46270</x:v>
      </x:c>
      <x:c r="C49" s="2" t="str">
        <x:v>2026-09</x:v>
      </x:c>
      <x:c r="D49" s="2" t="str">
        <x:v>Я</x:v>
      </x:c>
      <x:c r="E49" s="2" t="str">
        <x:v>Общие расходы</x:v>
      </x:c>
      <x:c r="F49" s="2" t="str">
        <x:v>Дом и быт</x:v>
      </x:c>
      <x:c r="G49" s="2" t="str">
        <x:v>Квартплата</x:v>
      </x:c>
      <x:c r="H49" s="2" t="str">
        <x:v>Расход</x:v>
      </x:c>
      <x:c r="I49" s="8" t="n">
        <x:v>7100</x:v>
      </x:c>
      <x:c r="J49" s="8" t="n">
        <x:f>IF(H49="Возврат",-I49,I49)</x:f>
        <x:v>7100</x:v>
      </x:c>
      <x:c r="K49" s="2" t="str">
        <x:v>M049</x:v>
      </x:c>
      <x:c r="L49" s="2" t="n">
        <x:v>8</x:v>
      </x:c>
      <x:c r="M49" s="2" t="str"/>
    </x:row>
    <x:row r="50" ht="27" customHeight="1">
      <x:c r="A50" s="2" t="str">
        <x:v>F047.1</x:v>
      </x:c>
      <x:c r="B50" s="7" t="n">
        <x:v>46271</x:v>
      </x:c>
      <x:c r="C50" s="2" t="str">
        <x:v>2026-09</x:v>
      </x:c>
      <x:c r="D50" s="2" t="str">
        <x:v>Мама</x:v>
      </x:c>
      <x:c r="E50" s="2" t="str">
        <x:v>Общие расходы</x:v>
      </x:c>
      <x:c r="F50" s="2" t="str">
        <x:v>Еда</x:v>
      </x:c>
      <x:c r="G50" s="2" t="str">
        <x:v>Продукты</x:v>
      </x:c>
      <x:c r="H50" s="2" t="str">
        <x:v>Расход</x:v>
      </x:c>
      <x:c r="I50" s="8" t="n">
        <x:v>4900</x:v>
      </x:c>
      <x:c r="J50" s="8" t="n">
        <x:f>IF(H50="Возврат",-I50,I50)</x:f>
        <x:v>4900</x:v>
      </x:c>
      <x:c r="K50" s="2" t="str">
        <x:v>M050 / R12</x:v>
      </x:c>
      <x:c r="L50" s="2" t="n">
        <x:v>16</x:v>
      </x:c>
      <x:c r="M50" s="2" t="str"/>
    </x:row>
    <x:row r="51" ht="27" customHeight="1">
      <x:c r="A51" s="2" t="str">
        <x:v>F047.2</x:v>
      </x:c>
      <x:c r="B51" s="7" t="n">
        <x:v>46271</x:v>
      </x:c>
      <x:c r="C51" s="2" t="str">
        <x:v>2026-09</x:v>
      </x:c>
      <x:c r="D51" s="2" t="str">
        <x:v>Мама</x:v>
      </x:c>
      <x:c r="E51" s="2" t="str">
        <x:v>Общие расходы</x:v>
      </x:c>
      <x:c r="F51" s="2" t="str">
        <x:v>Дом и быт</x:v>
      </x:c>
      <x:c r="G51" s="2" t="str">
        <x:v>Средство для посуды и пакеты</x:v>
      </x:c>
      <x:c r="H51" s="2" t="str">
        <x:v>Расход</x:v>
      </x:c>
      <x:c r="I51" s="8" t="n">
        <x:v>800</x:v>
      </x:c>
      <x:c r="J51" s="8" t="n">
        <x:f>IF(H51="Возврат",-I51,I51)</x:f>
        <x:v>800</x:v>
      </x:c>
      <x:c r="K51" s="2" t="str">
        <x:v>M050 / R12</x:v>
      </x:c>
      <x:c r="L51" s="2" t="n">
        <x:v>16</x:v>
      </x:c>
      <x:c r="M51" s="2" t="str"/>
    </x:row>
    <x:row r="52" ht="27" customHeight="1">
      <x:c r="A52" s="2" t="str">
        <x:v>F048</x:v>
      </x:c>
      <x:c r="B52" s="7" t="n">
        <x:v>46272</x:v>
      </x:c>
      <x:c r="C52" s="2" t="str">
        <x:v>2026-09</x:v>
      </x:c>
      <x:c r="D52" s="2" t="str">
        <x:v>Мама</x:v>
      </x:c>
      <x:c r="E52" s="2" t="str">
        <x:v>Мама</x:v>
      </x:c>
      <x:c r="F52" s="2" t="str">
        <x:v>Здоровье</x:v>
      </x:c>
      <x:c r="G52" s="2" t="str">
        <x:v>Аптека</x:v>
      </x:c>
      <x:c r="H52" s="2" t="str">
        <x:v>Расход</x:v>
      </x:c>
      <x:c r="I52" s="8" t="n">
        <x:v>2100</x:v>
      </x:c>
      <x:c r="J52" s="8" t="n">
        <x:f>IF(H52="Возврат",-I52,I52)</x:f>
        <x:v>2100</x:v>
      </x:c>
      <x:c r="K52" s="2" t="str">
        <x:v>M051</x:v>
      </x:c>
      <x:c r="L52" s="2" t="n">
        <x:v>8</x:v>
      </x:c>
      <x:c r="M52" s="2" t="str"/>
    </x:row>
    <x:row r="53" ht="27" customHeight="1">
      <x:c r="A53" s="2" t="str">
        <x:v>F049</x:v>
      </x:c>
      <x:c r="B53" s="7" t="n">
        <x:v>46273</x:v>
      </x:c>
      <x:c r="C53" s="2" t="str">
        <x:v>2026-09</x:v>
      </x:c>
      <x:c r="D53" s="2" t="str">
        <x:v>Мама</x:v>
      </x:c>
      <x:c r="E53" s="2" t="str">
        <x:v>Мама</x:v>
      </x:c>
      <x:c r="F53" s="2" t="str">
        <x:v>Уход за собой</x:v>
      </x:c>
      <x:c r="G53" s="2" t="str">
        <x:v>Крем и шампунь</x:v>
      </x:c>
      <x:c r="H53" s="2" t="str">
        <x:v>Расход</x:v>
      </x:c>
      <x:c r="I53" s="8" t="n">
        <x:v>2400</x:v>
      </x:c>
      <x:c r="J53" s="8" t="n">
        <x:f>IF(H53="Возврат",-I53,I53)</x:f>
        <x:v>2400</x:v>
      </x:c>
      <x:c r="K53" s="2" t="str">
        <x:v>M052 / R13</x:v>
      </x:c>
      <x:c r="L53" s="2" t="n">
        <x:v>17</x:v>
      </x:c>
      <x:c r="M53" s="2" t="str"/>
    </x:row>
    <x:row r="54" ht="27" customHeight="1">
      <x:c r="A54" s="2" t="str">
        <x:v>F050</x:v>
      </x:c>
      <x:c r="B54" s="7" t="n">
        <x:v>46274</x:v>
      </x:c>
      <x:c r="C54" s="2" t="str">
        <x:v>2026-09</x:v>
      </x:c>
      <x:c r="D54" s="2" t="str">
        <x:v>Мама</x:v>
      </x:c>
      <x:c r="E54" s="2" t="str">
        <x:v>Мама</x:v>
      </x:c>
      <x:c r="F54" s="2" t="str">
        <x:v>Транспорт</x:v>
      </x:c>
      <x:c r="G54" s="2" t="str">
        <x:v>Такси</x:v>
      </x:c>
      <x:c r="H54" s="2" t="str">
        <x:v>Расход</x:v>
      </x:c>
      <x:c r="I54" s="8" t="n">
        <x:v>1350</x:v>
      </x:c>
      <x:c r="J54" s="8" t="n">
        <x:f>IF(H54="Возврат",-I54,I54)</x:f>
        <x:v>1350</x:v>
      </x:c>
      <x:c r="K54" s="2" t="str">
        <x:v>M053</x:v>
      </x:c>
      <x:c r="L54" s="2" t="n">
        <x:v>8</x:v>
      </x:c>
      <x:c r="M54" s="2" t="str"/>
    </x:row>
    <x:row r="55" ht="27" customHeight="1">
      <x:c r="A55" s="2" t="str">
        <x:v>F051</x:v>
      </x:c>
      <x:c r="B55" s="7" t="n">
        <x:v>46275</x:v>
      </x:c>
      <x:c r="C55" s="2" t="str">
        <x:v>2026-09</x:v>
      </x:c>
      <x:c r="D55" s="2" t="str">
        <x:v>Дочь</x:v>
      </x:c>
      <x:c r="E55" s="2" t="str">
        <x:v>Дочь</x:v>
      </x:c>
      <x:c r="F55" s="2" t="str">
        <x:v>Еда</x:v>
      </x:c>
      <x:c r="G55" s="2" t="str">
        <x:v>Кофе и десерт</x:v>
      </x:c>
      <x:c r="H55" s="2" t="str">
        <x:v>Расход</x:v>
      </x:c>
      <x:c r="I55" s="8" t="n">
        <x:v>1250</x:v>
      </x:c>
      <x:c r="J55" s="8" t="n">
        <x:f>IF(H55="Возврат",-I55,I55)</x:f>
        <x:v>1250</x:v>
      </x:c>
      <x:c r="K55" s="2" t="str">
        <x:v>M054 / R14</x:v>
      </x:c>
      <x:c r="L55" s="2" t="n">
        <x:v>17</x:v>
      </x:c>
      <x:c r="M55" s="2" t="str"/>
    </x:row>
    <x:row r="56" ht="27" customHeight="1">
      <x:c r="A56" s="2" t="str">
        <x:v>F052</x:v>
      </x:c>
      <x:c r="B56" s="7" t="n">
        <x:v>46276</x:v>
      </x:c>
      <x:c r="C56" s="2" t="str">
        <x:v>2026-09</x:v>
      </x:c>
      <x:c r="D56" s="2" t="str">
        <x:v>Мама</x:v>
      </x:c>
      <x:c r="E56" s="2" t="str">
        <x:v>Дочь</x:v>
      </x:c>
      <x:c r="F56" s="2" t="str">
        <x:v>Одежда</x:v>
      </x:c>
      <x:c r="G56" s="2" t="str">
        <x:v>Джинсы и футболка</x:v>
      </x:c>
      <x:c r="H56" s="2" t="str">
        <x:v>Расход</x:v>
      </x:c>
      <x:c r="I56" s="8" t="n">
        <x:v>4500</x:v>
      </x:c>
      <x:c r="J56" s="8" t="n">
        <x:f>IF(H56="Возврат",-I56,I56)</x:f>
        <x:v>4500</x:v>
      </x:c>
      <x:c r="K56" s="2" t="str">
        <x:v>M055</x:v>
      </x:c>
      <x:c r="L56" s="2" t="n">
        <x:v>8</x:v>
      </x:c>
      <x:c r="M56" s="2" t="str"/>
    </x:row>
    <x:row r="57" ht="27" customHeight="1">
      <x:c r="A57" s="2" t="str">
        <x:v>F053</x:v>
      </x:c>
      <x:c r="B57" s="7" t="n">
        <x:v>46277</x:v>
      </x:c>
      <x:c r="C57" s="2" t="str">
        <x:v>2026-09</x:v>
      </x:c>
      <x:c r="D57" s="2" t="str">
        <x:v>Мама</x:v>
      </x:c>
      <x:c r="E57" s="2" t="str">
        <x:v>Дочь</x:v>
      </x:c>
      <x:c r="F57" s="2" t="str">
        <x:v>Обучение и спорт</x:v>
      </x:c>
      <x:c r="G57" s="2" t="str">
        <x:v>Английский язык</x:v>
      </x:c>
      <x:c r="H57" s="2" t="str">
        <x:v>Расход</x:v>
      </x:c>
      <x:c r="I57" s="8" t="n">
        <x:v>3600</x:v>
      </x:c>
      <x:c r="J57" s="8" t="n">
        <x:f>IF(H57="Возврат",-I57,I57)</x:f>
        <x:v>3600</x:v>
      </x:c>
      <x:c r="K57" s="2" t="str">
        <x:v>M063 / D09</x:v>
      </x:c>
      <x:c r="L57" s="2" t="n">
        <x:v>21</x:v>
      </x:c>
      <x:c r="M57" s="2" t="str"/>
    </x:row>
    <x:row r="58" ht="27" customHeight="1">
      <x:c r="A58" s="2" t="str">
        <x:v>F054</x:v>
      </x:c>
      <x:c r="B58" s="7" t="n">
        <x:v>46278</x:v>
      </x:c>
      <x:c r="C58" s="2" t="str">
        <x:v>2026-09</x:v>
      </x:c>
      <x:c r="D58" s="2" t="str">
        <x:v>Дочь</x:v>
      </x:c>
      <x:c r="E58" s="2" t="str">
        <x:v>Дочь</x:v>
      </x:c>
      <x:c r="F58" s="2" t="str">
        <x:v>Транспорт</x:v>
      </x:c>
      <x:c r="G58" s="2" t="str">
        <x:v>Метро</x:v>
      </x:c>
      <x:c r="H58" s="2" t="str">
        <x:v>Расход</x:v>
      </x:c>
      <x:c r="I58" s="8" t="n">
        <x:v>1050</x:v>
      </x:c>
      <x:c r="J58" s="8" t="n">
        <x:f>IF(H58="Возврат",-I58,I58)</x:f>
        <x:v>1050</x:v>
      </x:c>
      <x:c r="K58" s="2" t="str">
        <x:v>M056</x:v>
      </x:c>
      <x:c r="L58" s="2" t="n">
        <x:v>8</x:v>
      </x:c>
      <x:c r="M58" s="2" t="str"/>
    </x:row>
    <x:row r="59" ht="27" customHeight="1">
      <x:c r="A59" s="2" t="str">
        <x:v>F055</x:v>
      </x:c>
      <x:c r="B59" s="7" t="n">
        <x:v>46279</x:v>
      </x:c>
      <x:c r="C59" s="2" t="str">
        <x:v>2026-09</x:v>
      </x:c>
      <x:c r="D59" s="2" t="str">
        <x:v>Мама</x:v>
      </x:c>
      <x:c r="E59" s="2" t="str">
        <x:v>Сын Илья</x:v>
      </x:c>
      <x:c r="F59" s="2" t="str">
        <x:v>Обучение и спорт</x:v>
      </x:c>
      <x:c r="G59" s="2" t="str">
        <x:v>Плавание</x:v>
      </x:c>
      <x:c r="H59" s="2" t="str">
        <x:v>Расход</x:v>
      </x:c>
      <x:c r="I59" s="8" t="n">
        <x:v>3200</x:v>
      </x:c>
      <x:c r="J59" s="8" t="n">
        <x:f>IF(H59="Возврат",-I59,I59)</x:f>
        <x:v>3200</x:v>
      </x:c>
      <x:c r="K59" s="2" t="str">
        <x:v>M063 / D09</x:v>
      </x:c>
      <x:c r="L59" s="2" t="n">
        <x:v>21</x:v>
      </x:c>
      <x:c r="M59" s="2" t="str"/>
    </x:row>
    <x:row r="60" ht="27" customHeight="1">
      <x:c r="A60" s="2" t="str">
        <x:v>F056</x:v>
      </x:c>
      <x:c r="B60" s="7" t="n">
        <x:v>46280</x:v>
      </x:c>
      <x:c r="C60" s="2" t="str">
        <x:v>2026-09</x:v>
      </x:c>
      <x:c r="D60" s="2" t="str">
        <x:v>Сын Илья</x:v>
      </x:c>
      <x:c r="E60" s="2" t="str">
        <x:v>Сын Илья</x:v>
      </x:c>
      <x:c r="F60" s="2" t="str">
        <x:v>Развлечения</x:v>
      </x:c>
      <x:c r="G60" s="2" t="str">
        <x:v>Игра</x:v>
      </x:c>
      <x:c r="H60" s="2" t="str">
        <x:v>Расход</x:v>
      </x:c>
      <x:c r="I60" s="8" t="n">
        <x:v>1290</x:v>
      </x:c>
      <x:c r="J60" s="8" t="n">
        <x:f>IF(H60="Возврат",-I60,I60)</x:f>
        <x:v>1290</x:v>
      </x:c>
      <x:c r="K60" s="2" t="str">
        <x:v>M057 / R15</x:v>
      </x:c>
      <x:c r="L60" s="2" t="n">
        <x:v>18</x:v>
      </x:c>
      <x:c r="M60" s="2" t="str"/>
    </x:row>
    <x:row r="61" ht="27" customHeight="1">
      <x:c r="A61" s="2" t="str">
        <x:v>F057</x:v>
      </x:c>
      <x:c r="B61" s="7" t="n">
        <x:v>46281</x:v>
      </x:c>
      <x:c r="C61" s="2" t="str">
        <x:v>2026-09</x:v>
      </x:c>
      <x:c r="D61" s="2" t="str">
        <x:v>Сын Илья</x:v>
      </x:c>
      <x:c r="E61" s="2" t="str">
        <x:v>Сын Илья</x:v>
      </x:c>
      <x:c r="F61" s="2" t="str">
        <x:v>Еда</x:v>
      </x:c>
      <x:c r="G61" s="2" t="str">
        <x:v>Обеды в столовой</x:v>
      </x:c>
      <x:c r="H61" s="2" t="str">
        <x:v>Расход</x:v>
      </x:c>
      <x:c r="I61" s="8" t="n">
        <x:v>1100</x:v>
      </x:c>
      <x:c r="J61" s="8" t="n">
        <x:f>IF(H61="Возврат",-I61,I61)</x:f>
        <x:v>1100</x:v>
      </x:c>
      <x:c r="K61" s="2" t="str">
        <x:v>M058</x:v>
      </x:c>
      <x:c r="L61" s="2" t="n">
        <x:v>9</x:v>
      </x:c>
      <x:c r="M61" s="2" t="str"/>
    </x:row>
    <x:row r="62" ht="27" customHeight="1">
      <x:c r="A62" s="2" t="str">
        <x:v>F058</x:v>
      </x:c>
      <x:c r="B62" s="7" t="n">
        <x:v>46282</x:v>
      </x:c>
      <x:c r="C62" s="2" t="str">
        <x:v>2026-09</x:v>
      </x:c>
      <x:c r="D62" s="2" t="str">
        <x:v>Сын Илья</x:v>
      </x:c>
      <x:c r="E62" s="2" t="str">
        <x:v>Сын Илья</x:v>
      </x:c>
      <x:c r="F62" s="2" t="str">
        <x:v>Обучение и спорт</x:v>
      </x:c>
      <x:c r="G62" s="2" t="str">
        <x:v>Тетради и ручки</x:v>
      </x:c>
      <x:c r="H62" s="2" t="str">
        <x:v>Расход</x:v>
      </x:c>
      <x:c r="I62" s="8" t="n">
        <x:v>1250</x:v>
      </x:c>
      <x:c r="J62" s="8" t="n">
        <x:f>IF(H62="Возврат",-I62,I62)</x:f>
        <x:v>1250</x:v>
      </x:c>
      <x:c r="K62" s="2" t="str">
        <x:v>M059</x:v>
      </x:c>
      <x:c r="L62" s="2" t="n">
        <x:v>9</x:v>
      </x:c>
      <x:c r="M62" s="2" t="str"/>
    </x:row>
    <x:row r="63" ht="27" customHeight="1">
      <x:c r="A63" s="2" t="str">
        <x:v>F059</x:v>
      </x:c>
      <x:c r="B63" s="7" t="n">
        <x:v>46283</x:v>
      </x:c>
      <x:c r="C63" s="2" t="str">
        <x:v>2026-09</x:v>
      </x:c>
      <x:c r="D63" s="2" t="str">
        <x:v>Я</x:v>
      </x:c>
      <x:c r="E63" s="2" t="str">
        <x:v>Сын Максим</x:v>
      </x:c>
      <x:c r="F63" s="2" t="str">
        <x:v>Обучение и спорт</x:v>
      </x:c>
      <x:c r="G63" s="2" t="str">
        <x:v>Футбол</x:v>
      </x:c>
      <x:c r="H63" s="2" t="str">
        <x:v>Расход</x:v>
      </x:c>
      <x:c r="I63" s="8" t="n">
        <x:v>2900</x:v>
      </x:c>
      <x:c r="J63" s="8" t="n">
        <x:f>IF(H63="Возврат",-I63,I63)</x:f>
        <x:v>2900</x:v>
      </x:c>
      <x:c r="K63" s="2" t="str">
        <x:v>M063 / D09</x:v>
      </x:c>
      <x:c r="L63" s="2" t="n">
        <x:v>21</x:v>
      </x:c>
      <x:c r="M63" s="2" t="str"/>
    </x:row>
    <x:row r="64" ht="27" customHeight="1">
      <x:c r="A64" s="2" t="str">
        <x:v>F060</x:v>
      </x:c>
      <x:c r="B64" s="7" t="n">
        <x:v>46284</x:v>
      </x:c>
      <x:c r="C64" s="2" t="str">
        <x:v>2026-09</x:v>
      </x:c>
      <x:c r="D64" s="2" t="str">
        <x:v>Сын Максим</x:v>
      </x:c>
      <x:c r="E64" s="2" t="str">
        <x:v>Сын Максим</x:v>
      </x:c>
      <x:c r="F64" s="2" t="str">
        <x:v>Развлечения</x:v>
      </x:c>
      <x:c r="G64" s="2" t="str">
        <x:v>Конструктор</x:v>
      </x:c>
      <x:c r="H64" s="2" t="str">
        <x:v>Расход</x:v>
      </x:c>
      <x:c r="I64" s="8" t="n">
        <x:v>2100</x:v>
      </x:c>
      <x:c r="J64" s="8" t="n">
        <x:f>IF(H64="Возврат",-I64,I64)</x:f>
        <x:v>2100</x:v>
      </x:c>
      <x:c r="K64" s="2" t="str">
        <x:v>M060</x:v>
      </x:c>
      <x:c r="L64" s="2" t="n">
        <x:v>9</x:v>
      </x:c>
      <x:c r="M64" s="2" t="str"/>
    </x:row>
    <x:row r="65" ht="27" customHeight="1">
      <x:c r="A65" s="2" t="str">
        <x:v>F061</x:v>
      </x:c>
      <x:c r="B65" s="7" t="n">
        <x:v>46285</x:v>
      </x:c>
      <x:c r="C65" s="2" t="str">
        <x:v>2026-09</x:v>
      </x:c>
      <x:c r="D65" s="2" t="str">
        <x:v>Сын Максим</x:v>
      </x:c>
      <x:c r="E65" s="2" t="str">
        <x:v>Сын Максим</x:v>
      </x:c>
      <x:c r="F65" s="2" t="str">
        <x:v>Транспорт</x:v>
      </x:c>
      <x:c r="G65" s="2" t="str">
        <x:v>Автобус</x:v>
      </x:c>
      <x:c r="H65" s="2" t="str">
        <x:v>Расход</x:v>
      </x:c>
      <x:c r="I65" s="8" t="n">
        <x:v>240</x:v>
      </x:c>
      <x:c r="J65" s="8" t="n">
        <x:f>IF(H65="Возврат",-I65,I65)</x:f>
        <x:v>240</x:v>
      </x:c>
      <x:c r="K65" s="2" t="str">
        <x:v>M061</x:v>
      </x:c>
      <x:c r="L65" s="2" t="n">
        <x:v>9</x:v>
      </x:c>
      <x:c r="M65" s="2" t="str"/>
    </x:row>
    <x:row r="66" ht="27" customHeight="1">
      <x:c r="A66" s="2" t="str">
        <x:v>F062</x:v>
      </x:c>
      <x:c r="B66" s="7" t="n">
        <x:v>46286</x:v>
      </x:c>
      <x:c r="C66" s="2" t="str">
        <x:v>2026-09</x:v>
      </x:c>
      <x:c r="D66" s="2" t="str">
        <x:v>Сын Максим</x:v>
      </x:c>
      <x:c r="E66" s="2" t="str">
        <x:v>Сын Максим</x:v>
      </x:c>
      <x:c r="F66" s="2" t="str">
        <x:v>Еда</x:v>
      </x:c>
      <x:c r="G66" s="2" t="str">
        <x:v>Перекус</x:v>
      </x:c>
      <x:c r="H66" s="2" t="str">
        <x:v>Расход</x:v>
      </x:c>
      <x:c r="I66" s="8" t="n">
        <x:v>990</x:v>
      </x:c>
      <x:c r="J66" s="8" t="n">
        <x:f>IF(H66="Возврат",-I66,I66)</x:f>
        <x:v>990</x:v>
      </x:c>
      <x:c r="K66" s="2" t="str">
        <x:v>M062</x:v>
      </x:c>
      <x:c r="L66" s="2" t="n">
        <x:v>9</x:v>
      </x:c>
      <x:c r="M66" s="2" t="str"/>
    </x:row>
    <x:row r="67" ht="27" customHeight="1">
      <x:c r="A67" s="2" t="str">
        <x:v>V03</x:v>
      </x:c>
      <x:c r="B67" s="7" t="n">
        <x:v>46289</x:v>
      </x:c>
      <x:c r="C67" s="2" t="str">
        <x:v>2026-09</x:v>
      </x:c>
      <x:c r="D67" s="2" t="str">
        <x:v>Мама</x:v>
      </x:c>
      <x:c r="E67" s="2" t="str">
        <x:v>Дочь</x:v>
      </x:c>
      <x:c r="F67" s="2" t="str">
        <x:v>Одежда</x:v>
      </x:c>
      <x:c r="G67" s="2" t="str">
        <x:v>Возврат футболки</x:v>
      </x:c>
      <x:c r="H67" s="2" t="str">
        <x:v>Возврат</x:v>
      </x:c>
      <x:c r="I67" s="8" t="n">
        <x:v>1500</x:v>
      </x:c>
      <x:c r="J67" s="8" t="n">
        <x:f>IF(H67="Возврат",-I67,I67)</x:f>
        <x:v>-1500</x:v>
      </x:c>
      <x:c r="K67" s="2" t="str">
        <x:v>M064</x:v>
      </x:c>
      <x:c r="L67" s="2" t="n">
        <x:v>9</x:v>
      </x:c>
      <x:c r="M67" s="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20" hidden="0" customWidth="1"/>
    <x:col min="4" max="4" width="74" hidden="0" customWidth="1"/>
  </x:cols>
  <x:sheetData>
    <x:row r="1" ht="44" customHeight="1">
      <x:c r="A1" s="6" t="str">
        <x:v>Что не вошло в расходы</x:v>
      </x:c>
      <x:c r="B1" s="6" t="str">
        <x:v>Источник</x:v>
      </x:c>
      <x:c r="C1" s="6" t="str">
        <x:v>Сумма, руб.</x:v>
      </x:c>
      <x:c r="D1" s="6" t="str">
        <x:v>Почему</x:v>
      </x:c>
    </x:row>
    <x:row r="2" ht="44" customHeight="1">
      <x:c r="A2" s="19" t="str">
        <x:v>Неоплаченный счёт</x:v>
      </x:c>
      <x:c r="B2" s="19" t="str">
        <x:v>D09 / планируемое занятие</x:v>
      </x:c>
      <x:c r="C2" s="24" t="n">
        <x:v>1900</x:v>
      </x:c>
      <x:c r="D2" s="19" t="str">
        <x:v>Счёт за шахматы выставлен, но не оплачен.</x:v>
      </x:c>
    </x:row>
    <x:row r="3" ht="44" customHeight="1">
      <x:c r="A3" s="19" t="str">
        <x:v>Повтор чека</x:v>
      </x:c>
      <x:c r="B3" s="19" t="str">
        <x:v>M020</x:v>
      </x:c>
      <x:c r="C3" s="24" t="n">
        <x:v>1450</x:v>
      </x:c>
      <x:c r="D3" s="19" t="str">
        <x:v>Та же покупка F002; уже учтена.</x:v>
      </x:c>
    </x:row>
    <x:row r="4" ht="44" customHeight="1">
      <x:c r="A4" s="19" t="str">
        <x:v>Перевод внутри семьи</x:v>
      </x:c>
      <x:c r="B4" s="19" t="str">
        <x:v>M021</x:v>
      </x:c>
      <x:c r="C4" s="24" t="n">
        <x:v>3000</x:v>
      </x:c>
      <x:c r="D4" s="19" t="str">
        <x:v>Не является расходом семьи.</x:v>
      </x:c>
    </x:row>
    <x:row r="5" ht="44" customHeight="1">
      <x:c r="A5" s="19" t="str">
        <x:v>Перевод внутри семьи</x:v>
      </x:c>
      <x:c r="B5" s="19" t="str">
        <x:v>M022</x:v>
      </x:c>
      <x:c r="C5" s="24" t="n">
        <x:v>1500</x:v>
      </x:c>
      <x:c r="D5" s="19" t="str">
        <x:v>Не является расходом семьи.</x:v>
      </x:c>
    </x:row>
    <x:row r="6" ht="44" customHeight="1">
      <x:c r="A6" s="19" t="str">
        <x:v>Повтор чека</x:v>
      </x:c>
      <x:c r="B6" s="19" t="str">
        <x:v>M043</x:v>
      </x:c>
      <x:c r="C6" s="24" t="n">
        <x:v>1600</x:v>
      </x:c>
      <x:c r="D6" s="19" t="str">
        <x:v>Та же покупка F023; уже учтена.</x:v>
      </x:c>
    </x:row>
    <x:row r="7" ht="44" customHeight="1">
      <x:c r="A7" s="19" t="str">
        <x:v>Перевод внутри семьи</x:v>
      </x:c>
      <x:c r="B7" s="19" t="str">
        <x:v>M044</x:v>
      </x:c>
      <x:c r="C7" s="24" t="n">
        <x:v>3000</x:v>
      </x:c>
      <x:c r="D7" s="19" t="str">
        <x:v>Не является расходом семьи.</x:v>
      </x:c>
    </x:row>
    <x:row r="8" ht="44" customHeight="1">
      <x:c r="A8" s="19" t="str">
        <x:v>Перевод внутри семьи</x:v>
      </x:c>
      <x:c r="B8" s="19" t="str">
        <x:v>M045</x:v>
      </x:c>
      <x:c r="C8" s="24" t="n">
        <x:v>1500</x:v>
      </x:c>
      <x:c r="D8" s="19" t="str">
        <x:v>Не является расходом семьи.</x:v>
      </x:c>
    </x:row>
    <x:row r="9" ht="44" customHeight="1">
      <x:c r="A9" s="19" t="str">
        <x:v>Повтор чека</x:v>
      </x:c>
      <x:c r="B9" s="19" t="str">
        <x:v>M065</x:v>
      </x:c>
      <x:c r="C9" s="24" t="n">
        <x:v>1750</x:v>
      </x:c>
      <x:c r="D9" s="19" t="str">
        <x:v>Та же покупка F044; уже учтена.</x:v>
      </x:c>
    </x:row>
    <x:row r="10" ht="44" customHeight="1">
      <x:c r="A10" s="19" t="str">
        <x:v>Перевод внутри семьи</x:v>
      </x:c>
      <x:c r="B10" s="19" t="str">
        <x:v>M066</x:v>
      </x:c>
      <x:c r="C10" s="24" t="n">
        <x:v>3000</x:v>
      </x:c>
      <x:c r="D10" s="19" t="str">
        <x:v>Не является расходом семьи.</x:v>
      </x:c>
    </x:row>
    <x:row r="11" ht="44" customHeight="1">
      <x:c r="A11" s="19" t="str">
        <x:v>Перевод внутри семьи</x:v>
      </x:c>
      <x:c r="B11" s="19" t="str">
        <x:v>M067</x:v>
      </x:c>
      <x:c r="C11" s="24" t="n">
        <x:v>1500</x:v>
      </x:c>
      <x:c r="D11" s="19" t="str">
        <x:v>Не является расходом семьи.</x:v>
      </x:c>
    </x:row>
    <x:row r="12" ht="44" customHeight="1">
      <x:c r="A12" s="19"/>
      <x:c r="B12" s="19"/>
      <x:c r="C12" s="24"/>
      <x:c r="D12" s="19"/>
    </x:row>
    <x:row r="13" ht="44" customHeight="1">
      <x:c r="A13" s="6" t="str">
        <x:v>Нужно уточнить</x:v>
      </x:c>
      <x:c r="B13" s="6" t="str">
        <x:v>Источник</x:v>
      </x:c>
      <x:c r="C13" s="23" t="str">
        <x:v>Сумма, руб.</x:v>
      </x:c>
      <x:c r="D13" s="6" t="str">
        <x:v>Действие</x:v>
      </x:c>
    </x:row>
    <x:row r="14" ht="44" customHeight="1">
      <x:c r="A14" s="19" t="str">
        <x:v>Покупка в магазине</x:v>
      </x:c>
      <x:c r="B14" s="19" t="str">
        <x:v>M015</x:v>
      </x:c>
      <x:c r="C14" s="24" t="n">
        <x:v>950</x:v>
      </x:c>
      <x:c r="D14" s="19" t="str">
        <x:v>Не указано, что куплено; уточнить у Максима.</x:v>
      </x:c>
    </x:row>
    <x:row r="15" ht="44" customHeight="1">
      <x:c r="A15" s="19"/>
      <x:c r="B15" s="19"/>
      <x:c r="C15" s="19"/>
      <x:c r="D15" s="19"/>
    </x:row>
    <x:row r="16" ht="44" customHeight="1">
      <x:c r="A16" s="19" t="str">
        <x:v>Как читать источники</x:v>
      </x:c>
      <x:c r="B16" s="19"/>
      <x:c r="C16" s="19"/>
      <x:c r="D16" s="19"/>
    </x:row>
    <x:row r="17" ht="44" customHeight="1">
      <x:c r="A17" s="19" t="str">
        <x:v>M – сообщение в переписке; R – изображение чека; D – приложенный документ.</x:v>
      </x:c>
      <x:c r="B17" s="19"/>
      <x:c r="C17" s="19"/>
      <x:c r="D17" s="19"/>
    </x:row>
    <x:row r="18" ht="44" customHeight="1">
      <x:c r="A18" s="19" t="str">
        <x:v>Страница PDF на листе «Операции» указывает на исходную запись или вложение.</x:v>
      </x:c>
      <x:c r="B18" s="19"/>
      <x:c r="C18" s="19"/>
      <x:c r="D18" s="19"/>
    </x:row>
    <x:row r="19" ht="44" customHeight="1">
      <x:c r="A19" s="19" t="str">
        <x:v>Один смешанный чек может дать несколько строк расходов; его итог повторно не прибавляется.</x:v>
      </x:c>
      <x:c r="B19" s="19"/>
      <x:c r="C19" s="19"/>
      <x:c r="D19" s="19"/>
    </x:row>
  </x:sheetData>
  <x:mergeCells>
    <x:mergeCell ref="A16:D16"/>
    <x:mergeCell ref="A17:D17"/>
    <x:mergeCell ref="A18:D18"/>
    <x:mergeCell ref="A19:D19"/>
  </x:mergeCells>
  <x:pageMargins left="0.7" right="0.7" top="0.75" bottom="0.75" header="0.3" footer="0.3"/>
</x:worksheet>
</file>