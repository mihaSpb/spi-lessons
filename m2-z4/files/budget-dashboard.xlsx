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b42243b0e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юджет" sheetId="1" r:id="R00054f9cd9284eec"/>
    <x:sheet xmlns:r="http://schemas.openxmlformats.org/officeDocument/2006/relationships" name="Операции" sheetId="2" r:id="R8004cb96d1ec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dd.mm.yyyy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212B"/>
      </x:patternFill>
    </x:fill>
    <x:fill>
      <x:patternFill patternType="solid">
        <x:fgColor rgb="FFFFF0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041bb7cd045c5" /><Relationship Type="http://schemas.openxmlformats.org/officeDocument/2006/relationships/theme" Target="/xl/theme/theme1.xml" Id="Rba680b002cc24377" /><Relationship Type="http://schemas.openxmlformats.org/officeDocument/2006/relationships/sharedStrings" Target="/xl/sharedStrings.xml" Id="R3730f0efa5314e7e" /><Relationship Type="http://schemas.openxmlformats.org/officeDocument/2006/relationships/worksheet" Target="/xl/worksheets/sheet1.xml" Id="R00054f9cd9284eec" /><Relationship Type="http://schemas.openxmlformats.org/officeDocument/2006/relationships/worksheet" Target="/xl/worksheets/sheet2.xml" Id="R8004cb96d1ec47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3db8a8df9e4e03" /><Relationship Type="http://schemas.openxmlformats.org/officeDocument/2006/relationships/chart" Target="/xl/drawings/charts/chart2.xml" Id="R179271383ca243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Расходы по категориям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Расходы, ₽</c:v>
          </c:tx>
          <c:spPr>
            <a:solidFill xmlns:a="http://schemas.openxmlformats.org/drawingml/2006/main">
              <a:srgbClr val="FF6B00"/>
            </a:solidFill>
          </c:spPr>
          <c:invertIfNegative val="0"/>
          <c:cat>
            <c:strRef>
              <c:f>'Бюджет'!$A$14:$A$23</c:f>
              <c:strCache>
                <c:ptCount val="0"/>
              </c:strCache>
            </c:strRef>
          </c:cat>
          <c:val>
            <c:numRef>
              <c:f>'Бюджет'!$B$14:$B$23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Доходы и чистые расходы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Доходы, ₽</c:v>
          </c:tx>
          <c:spPr>
            <a:solidFill xmlns:a="http://schemas.openxmlformats.org/drawingml/2006/main">
              <a:srgbClr val="FF6B00"/>
            </a:solidFill>
          </c:spPr>
          <c:invertIfNegative val="0"/>
          <c:cat>
            <c:strRef>
              <c:f>'Бюджет'!$A$26:$A$27</c:f>
              <c:strCache>
                <c:ptCount val="0"/>
              </c:strCache>
            </c:strRef>
          </c:cat>
          <c:val>
            <c:numRef>
              <c:f>'Бюджет'!$B$26:$B$27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Чистые расходы, ₽</c:v>
          </c:tx>
          <c:spPr>
            <a:solidFill xmlns:a="http://schemas.openxmlformats.org/drawingml/2006/main">
              <a:srgbClr val="19212B"/>
            </a:solidFill>
          </c:spPr>
          <c:invertIfNegative val="0"/>
          <c:cat>
            <c:strRef>
              <c:f>'Бюджет'!$A$26:$A$27</c:f>
              <c:strCache>
                <c:ptCount val="0"/>
              </c:strCache>
            </c:strRef>
          </c:cat>
          <c:val>
            <c:numRef>
              <c:f>'Бюджет'!$C$26:$C$27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3db8a8df9e4e03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9271383ca2435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e862e6015c46b9" /></Relationships>
</file>

<file path=xl/worksheets/sheet1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4" hidden="0" customWidth="1"/>
    <x:col min="3" max="3" width="26" hidden="0" customWidth="1"/>
    <x:col min="4" max="4" width="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4" customHeight="1">
      <x:c r="A1" s="6" t="str">
        <x:v>Семейные финансы</x:v>
      </x:c>
      <x:c r="B1" s="6" t="str">
        <x:v>Учебные данные · август–сентябрь 2026</x:v>
      </x:c>
      <x:c r="C1" s="6"/>
    </x:row>
    <x:row r="2" ht="26" customHeight="1">
      <x:c r="A2" s="2" t="str">
        <x:v>Данные не содержат начальных остатков на счетах</x:v>
      </x:c>
      <x:c r="B2" s="7"/>
      <x:c r="C2" s="7"/>
    </x:row>
    <x:row r="3" ht="26" customHeight="1">
      <x:c r="A3" s="2" t="str">
        <x:v>Месяц</x:v>
      </x:c>
      <x:c r="B3" s="8" t="str">
        <x:v>Все</x:v>
      </x:c>
      <x:c r="C3" s="7"/>
    </x:row>
    <x:row r="4" ht="26" customHeight="1">
      <x:c r="A4" s="2" t="str">
        <x:v>Сокращение кафе и доставки</x:v>
      </x:c>
      <x:c r="B4" s="9" t="n">
        <x:v>0.15</x:v>
      </x:c>
      <x:c r="C4" s="7"/>
    </x:row>
    <x:row r="5" ht="26" customHeight="1">
      <x:c r="A5" s="2"/>
      <x:c r="B5" s="7"/>
      <x:c r="C5" s="7"/>
    </x:row>
    <x:row r="6" ht="26" customHeight="1">
      <x:c r="A6" s="2" t="str">
        <x:v>Показатель</x:v>
      </x:c>
      <x:c r="B6" s="7" t="str">
        <x:v>Сумма, ₽</x:v>
      </x:c>
      <x:c r="C6" s="7"/>
    </x:row>
    <x:row r="7" ht="26" customHeight="1">
      <x:c r="A7" s="2" t="str">
        <x:v>Доходы</x:v>
      </x:c>
      <x:c r="B7" s="7" t="n">
        <x:f>SUMIFS('Операции'!$E$2:$E$121,'Операции'!$D$2:$D$121,"доход",'Операции'!$H$2:$H$121,IF($B$3="Все","*",$B$3))</x:f>
        <x:v>255000</x:v>
      </x:c>
      <x:c r="C7" s="7"/>
    </x:row>
    <x:row r="8" ht="26" customHeight="1">
      <x:c r="A8" s="2" t="str">
        <x:v>Чистые расходы</x:v>
      </x:c>
      <x:c r="B8" s="7" t="n">
        <x:f>SUMIFS('Операции'!$E$2:$E$121,'Операции'!$D$2:$D$121,"расход",'Операции'!$H$2:$H$121,IF($B$3="Все","*",$B$3))-SUMIFS('Операции'!$E$2:$E$121,'Операции'!$D$2:$D$121,"возврат покупки",'Операции'!$H$2:$H$121,IF($B$3="Все","*",$B$3))</x:f>
        <x:v>272247</x:v>
      </x:c>
      <x:c r="C8" s="7"/>
    </x:row>
    <x:row r="9" ht="26" customHeight="1">
      <x:c r="A9" s="2" t="str">
        <x:v>Доходы минус расходы</x:v>
      </x:c>
      <x:c r="B9" s="7" t="n">
        <x:f>B7-B8</x:f>
        <x:v>-17247</x:v>
      </x:c>
      <x:c r="C9" s="7"/>
    </x:row>
    <x:row r="10" ht="26" customHeight="1">
      <x:c r="A10" s="2" t="str">
        <x:v>Экономия по условию</x:v>
      </x:c>
      <x:c r="B10" s="7" t="n">
        <x:f>(SUMIFS('Операции'!$E$2:$E$121,'Операции'!$D$2:$D$121,"расход",'Операции'!$H$2:$H$121,IF($B$3="Все","*",$B$3),'Операции'!$F$2:$F$121,"Кафе")+SUMIFS('Операции'!$E$2:$E$121,'Операции'!$D$2:$D$121,"расход",'Операции'!$H$2:$H$121,IF($B$3="Все","*",$B$3),'Операции'!$F$2:$F$121,"Доставка еды"))*$B$4</x:f>
        <x:v>7800</x:v>
      </x:c>
      <x:c r="C10" s="7"/>
    </x:row>
    <x:row r="11" ht="26" customHeight="1">
      <x:c r="A11" s="2" t="str">
        <x:v>Расходы по сценарию</x:v>
      </x:c>
      <x:c r="B11" s="7" t="n">
        <x:f>B8-B10</x:f>
        <x:v>264447</x:v>
      </x:c>
      <x:c r="C11" s="7"/>
    </x:row>
    <x:row r="12" ht="26" customHeight="1">
      <x:c r="A12" s="2"/>
      <x:c r="B12" s="7"/>
      <x:c r="C12" s="7"/>
    </x:row>
    <x:row r="13" ht="26" customHeight="1">
      <x:c r="A13" s="2" t="str">
        <x:v>Категория</x:v>
      </x:c>
      <x:c r="B13" s="7" t="str">
        <x:v>Расходы, ₽</x:v>
      </x:c>
      <x:c r="C13" s="7"/>
    </x:row>
    <x:row r="14" ht="26" customHeight="1">
      <x:c r="A14" s="2" t="str">
        <x:v>Продукты</x:v>
      </x:c>
      <x:c r="B14" s="7" t="n">
        <x:f>SUMIFS('Операции'!$E$2:$E$121,'Операции'!$D$2:$D$121,"расход",'Операции'!$H$2:$H$121,IF($B$3="Все","*",$B$3),'Операции'!$F$2:$F$121,A14)</x:f>
        <x:v>48560</x:v>
      </x:c>
      <x:c r="C14" s="7"/>
    </x:row>
    <x:row r="15" ht="26" customHeight="1">
      <x:c r="A15" s="2" t="str">
        <x:v>Транспорт</x:v>
      </x:c>
      <x:c r="B15" s="7" t="n">
        <x:f>SUMIFS('Операции'!$E$2:$E$121,'Операции'!$D$2:$D$121,"расход",'Операции'!$H$2:$H$121,IF($B$3="Все","*",$B$3),'Операции'!$F$2:$F$121,A15)</x:f>
        <x:v>8570</x:v>
      </x:c>
      <x:c r="C15" s="7"/>
    </x:row>
    <x:row r="16" ht="26" customHeight="1">
      <x:c r="A16" s="2" t="str">
        <x:v>Кафе</x:v>
      </x:c>
      <x:c r="B16" s="7" t="n">
        <x:f>SUMIFS('Операции'!$E$2:$E$121,'Операции'!$D$2:$D$121,"расход",'Операции'!$H$2:$H$121,IF($B$3="Все","*",$B$3),'Операции'!$F$2:$F$121,A16)</x:f>
        <x:v>18890</x:v>
      </x:c>
      <x:c r="C16" s="7"/>
    </x:row>
    <x:row r="17" ht="26" customHeight="1">
      <x:c r="A17" s="2" t="str">
        <x:v>Доставка еды</x:v>
      </x:c>
      <x:c r="B17" s="7" t="n">
        <x:f>SUMIFS('Операции'!$E$2:$E$121,'Операции'!$D$2:$D$121,"расход",'Операции'!$H$2:$H$121,IF($B$3="Все","*",$B$3),'Операции'!$F$2:$F$121,A17)</x:f>
        <x:v>33110</x:v>
      </x:c>
      <x:c r="C17" s="7"/>
    </x:row>
    <x:row r="18" ht="26" customHeight="1">
      <x:c r="A18" s="2" t="str">
        <x:v>Жильё</x:v>
      </x:c>
      <x:c r="B18" s="7" t="n">
        <x:f>SUMIFS('Операции'!$E$2:$E$121,'Операции'!$D$2:$D$121,"расход",'Операции'!$H$2:$H$121,IF($B$3="Все","*",$B$3),'Операции'!$F$2:$F$121,A18)</x:f>
        <x:v>90000</x:v>
      </x:c>
      <x:c r="C18" s="7"/>
    </x:row>
    <x:row r="19" ht="26" customHeight="1">
      <x:c r="A19" s="2" t="str">
        <x:v>Здоровье</x:v>
      </x:c>
      <x:c r="B19" s="7" t="n">
        <x:f>SUMIFS('Операции'!$E$2:$E$121,'Операции'!$D$2:$D$121,"расход",'Операции'!$H$2:$H$121,IF($B$3="Все","*",$B$3),'Операции'!$F$2:$F$121,A19)</x:f>
        <x:v>22960</x:v>
      </x:c>
      <x:c r="C19" s="7"/>
    </x:row>
    <x:row r="20" ht="26" customHeight="1">
      <x:c r="A20" s="2" t="str">
        <x:v>Подписки</x:v>
      </x:c>
      <x:c r="B20" s="7" t="n">
        <x:f>SUMIFS('Операции'!$E$2:$E$121,'Операции'!$D$2:$D$121,"расход",'Операции'!$H$2:$H$121,IF($B$3="Все","*",$B$3),'Операции'!$F$2:$F$121,A20)</x:f>
        <x:v>1497</x:v>
      </x:c>
      <x:c r="C20" s="7"/>
    </x:row>
    <x:row r="21" ht="26" customHeight="1">
      <x:c r="A21" s="2" t="str">
        <x:v>Обучение</x:v>
      </x:c>
      <x:c r="B21" s="7" t="n">
        <x:f>SUMIFS('Операции'!$E$2:$E$121,'Операции'!$D$2:$D$121,"расход",'Операции'!$H$2:$H$121,IF($B$3="Все","*",$B$3),'Операции'!$F$2:$F$121,A21)</x:f>
        <x:v>29700</x:v>
      </x:c>
      <x:c r="C21" s="7"/>
    </x:row>
    <x:row r="22" ht="26" customHeight="1">
      <x:c r="A22" s="2" t="str">
        <x:v>Прочее</x:v>
      </x:c>
      <x:c r="B22" s="7" t="n">
        <x:f>SUMIFS('Операции'!$E$2:$E$121,'Операции'!$D$2:$D$121,"расход",'Операции'!$H$2:$H$121,IF($B$3="Все","*",$B$3),'Операции'!$F$2:$F$121,A22)</x:f>
        <x:v>20760</x:v>
      </x:c>
      <x:c r="C22" s="7"/>
    </x:row>
    <x:row r="23" ht="26" customHeight="1">
      <x:c r="A23" s="2" t="str">
        <x:v>Не определено</x:v>
      </x:c>
      <x:c r="B23" s="7" t="n">
        <x:f>SUMIFS('Операции'!$E$2:$E$121,'Операции'!$D$2:$D$121,"расход",'Операции'!$H$2:$H$121,IF($B$3="Все","*",$B$3),'Операции'!$F$2:$F$121,A23)</x:f>
        <x:v>3000</x:v>
      </x:c>
      <x:c r="C23" s="7"/>
    </x:row>
    <x:row r="24" ht="26" customHeight="1">
      <x:c r="A24" s="2"/>
      <x:c r="B24" s="7"/>
      <x:c r="C24" s="7"/>
    </x:row>
    <x:row r="25" ht="26" customHeight="1">
      <x:c r="A25" s="2" t="str">
        <x:v>Месяц</x:v>
      </x:c>
      <x:c r="B25" s="7" t="str">
        <x:v>Доходы, ₽</x:v>
      </x:c>
      <x:c r="C25" s="7" t="str">
        <x:v>Чистые расходы, ₽</x:v>
      </x:c>
    </x:row>
    <x:row r="26" ht="26" customHeight="1">
      <x:c r="A26" s="2" t="str">
        <x:v>2026-08</x:v>
      </x:c>
      <x:c r="B26" s="7" t="n">
        <x:f>IF(OR($B$3="Все",$B$3=A26),SUMIFS('Операции'!$E$2:$E$121,'Операции'!$D$2:$D$121,"доход",'Операции'!$H$2:$H$121,A26),0)</x:f>
        <x:v>85000</x:v>
      </x:c>
      <x:c r="C26" s="7" t="n">
        <x:f>IF(OR($B$3="Все",$B$3=A26),SUMIFS('Операции'!$E$2:$E$121,'Операции'!$D$2:$D$121,"расход",'Операции'!$H$2:$H$121,A26)-SUMIFS('Операции'!$E$2:$E$121,'Операции'!$D$2:$D$121,"возврат покупки",'Операции'!$H$2:$H$121,A26),0)</x:f>
        <x:v>106809</x:v>
      </x:c>
    </x:row>
    <x:row r="27" ht="26" customHeight="1">
      <x:c r="A27" s="2" t="str">
        <x:v>2026-09</x:v>
      </x:c>
      <x:c r="B27" s="7" t="n">
        <x:f>IF(OR($B$3="Все",$B$3=A27),SUMIFS('Операции'!$E$2:$E$121,'Операции'!$D$2:$D$121,"доход",'Операции'!$H$2:$H$121,A27),0)</x:f>
        <x:v>170000</x:v>
      </x:c>
      <x:c r="C27" s="7" t="n">
        <x:f>IF(OR($B$3="Все",$B$3=A27),SUMIFS('Операции'!$E$2:$E$121,'Операции'!$D$2:$D$121,"расход",'Операции'!$H$2:$H$121,A27)-SUMIFS('Операции'!$E$2:$E$121,'Операции'!$D$2:$D$121,"возврат покупки",'Операции'!$H$2:$H$121,A27),0)</x:f>
        <x:v>165438</x:v>
      </x:c>
    </x:row>
    <x:row r="28" ht="26" customHeight="1">
      <x:c r="A28" s="2"/>
      <x:c r="B28" s="7"/>
      <x:c r="C28" s="7"/>
    </x:row>
    <x:row r="29" ht="26" customHeight="1">
      <x:c r="A29" s="2" t="str">
        <x:v>Переводы между своими счетами исключены. Возвраты уменьшают расходы.</x:v>
      </x:c>
      <x:c r="B29" s="7"/>
      <x:c r="C29" s="7"/>
    </x:row>
  </x:sheetData>
  <x:dataValidations count="1">
    <x:dataValidation type="list" sqref="B3">
      <x:formula1>"Все,2026-08,2026-09"</x:formula1>
    </x:dataValidation>
  </x:dataValidations>
  <x:pageMargins left="0.7" right="0.7" top="0.75" bottom="0.75" header="0.3" footer="0.3"/>
  <x:drawing xmlns:r="http://schemas.openxmlformats.org/officeDocument/2006/relationships" r:id="R59e862e6015c46b9"/>
</x:worksheet>
</file>

<file path=xl/worksheets/sheet2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50" hidden="0" customWidth="1"/>
    <x:col min="4" max="4" width="32" hidden="0" customWidth="1"/>
    <x:col min="5" max="5" width="20" hidden="0" customWidth="1"/>
    <x:col min="6" max="6" width="23" hidden="0" customWidth="1"/>
    <x:col min="7" max="7" width="18" hidden="0" customWidth="1"/>
    <x:col min="8" max="8" width="15" hidden="0" customWidth="1"/>
  </x:cols>
  <x:sheetData>
    <x:row r="1" ht="34" customHeight="1">
      <x:c r="A1" s="6" t="str">
        <x:v>ID</x:v>
      </x:c>
      <x:c r="B1" s="6" t="str">
        <x:v>Дата</x:v>
      </x:c>
      <x:c r="C1" s="6" t="str">
        <x:v>Описание</x:v>
      </x:c>
      <x:c r="D1" s="6" t="str">
        <x:v>Тип_операции</x:v>
      </x:c>
      <x:c r="E1" s="6" t="str">
        <x:v>Сумма_руб</x:v>
      </x:c>
      <x:c r="F1" s="6" t="str">
        <x:v>Категория</x:v>
      </x:c>
      <x:c r="G1" s="6" t="str">
        <x:v>Регулярность</x:v>
      </x:c>
      <x:c r="H1" s="6" t="str">
        <x:v>Месяц</x:v>
      </x:c>
    </x:row>
    <x:row r="2" ht="26" customHeight="1">
      <x:c r="A2" s="2" t="str">
        <x:v>T001</x:v>
      </x:c>
      <x:c r="B2" s="10" t="d">
        <x:v>2026-09-03T00:00:00.000Z</x:v>
      </x:c>
      <x:c r="C2" s="2" t="str">
        <x:v>3 сентября продукты 2450 руб</x:v>
      </x:c>
      <x:c r="D2" s="2" t="str">
        <x:v>расход</x:v>
      </x:c>
      <x:c r="E2" s="7" t="n">
        <x:v>2450</x:v>
      </x:c>
      <x:c r="F2" s="2" t="str">
        <x:v>Продукты</x:v>
      </x:c>
      <x:c r="G2" s="2" t="str">
        <x:v>нет</x:v>
      </x:c>
      <x:c r="H2" s="2" t="str">
        <x:f>TEXT(B2,"yyyy-mm")</x:f>
        <x:v>2026-09</x:v>
      </x:c>
    </x:row>
    <x:row r="3" ht="26" customHeight="1">
      <x:c r="A3" s="2" t="str">
        <x:v>T002</x:v>
      </x:c>
      <x:c r="B3" s="10" t="d">
        <x:v>2026-09-04T00:00:00.000Z</x:v>
      </x:c>
      <x:c r="C3" s="2" t="str">
        <x:v>04.09 такси 680</x:v>
      </x:c>
      <x:c r="D3" s="2" t="str">
        <x:v>расход</x:v>
      </x:c>
      <x:c r="E3" s="7" t="n">
        <x:v>680</x:v>
      </x:c>
      <x:c r="F3" s="2" t="str">
        <x:v>Транспорт</x:v>
      </x:c>
      <x:c r="G3" s="2" t="str">
        <x:v>нет</x:v>
      </x:c>
      <x:c r="H3" s="2" t="str">
        <x:f>TEXT(B3,"yyyy-mm")</x:f>
        <x:v>2026-09</x:v>
      </x:c>
    </x:row>
    <x:row r="4" ht="26" customHeight="1">
      <x:c r="A4" s="2" t="str">
        <x:v>T003</x:v>
      </x:c>
      <x:c r="B4" s="10" t="d">
        <x:v>2026-09-05T00:00:00.000Z</x:v>
      </x:c>
      <x:c r="C4" s="2" t="str">
        <x:v>5 сентября перевёл 10 тысяч на свой накопительный счёт</x:v>
      </x:c>
      <x:c r="D4" s="2" t="str">
        <x:v>перевод между своими счетами</x:v>
      </x:c>
      <x:c r="E4" s="7" t="n">
        <x:v>10000</x:v>
      </x:c>
      <x:c r="F4" s="2" t="str">
        <x:v>Перевод</x:v>
      </x:c>
      <x:c r="G4" s="2" t="str">
        <x:v>нет</x:v>
      </x:c>
      <x:c r="H4" s="2" t="str">
        <x:f>TEXT(B4,"yyyy-mm")</x:f>
        <x:v>2026-09</x:v>
      </x:c>
    </x:row>
    <x:row r="5" ht="26" customHeight="1">
      <x:c r="A5" s="2" t="str">
        <x:v>T004</x:v>
      </x:c>
      <x:c r="B5" s="10" t="d">
        <x:v>2026-09-06T00:00:00.000Z</x:v>
      </x:c>
      <x:c r="C5" s="2" t="str">
        <x:v>6 сентября вернули 1200 рублей за покупку</x:v>
      </x:c>
      <x:c r="D5" s="2" t="str">
        <x:v>возврат покупки</x:v>
      </x:c>
      <x:c r="E5" s="7" t="n">
        <x:v>1200</x:v>
      </x:c>
      <x:c r="F5" s="2" t="str">
        <x:v>Возврат</x:v>
      </x:c>
      <x:c r="G5" s="2" t="str">
        <x:v>нет</x:v>
      </x:c>
      <x:c r="H5" s="2" t="str">
        <x:f>TEXT(B5,"yyyy-mm")</x:f>
        <x:v>2026-09</x:v>
      </x:c>
    </x:row>
    <x:row r="6" ht="26" customHeight="1">
      <x:c r="A6" s="2" t="str">
        <x:v>T005</x:v>
      </x:c>
      <x:c r="B6" s="10" t="d">
        <x:v>2026-09-07T00:00:00.000Z</x:v>
      </x:c>
      <x:c r="C6" s="2" t="str">
        <x:v>7 сентября получил зарплату 85000</x:v>
      </x:c>
      <x:c r="D6" s="2" t="str">
        <x:v>доход</x:v>
      </x:c>
      <x:c r="E6" s="7" t="n">
        <x:v>85000</x:v>
      </x:c>
      <x:c r="F6" s="2" t="str">
        <x:v>Зарплата</x:v>
      </x:c>
      <x:c r="G6" s="2" t="str">
        <x:v>да</x:v>
      </x:c>
      <x:c r="H6" s="2" t="str">
        <x:f>TEXT(B6,"yyyy-mm")</x:f>
        <x:v>2026-09</x:v>
      </x:c>
    </x:row>
    <x:row r="7" ht="26" customHeight="1">
      <x:c r="A7" s="2" t="str">
        <x:v>T006</x:v>
      </x:c>
      <x:c r="B7" s="10" t="d">
        <x:v>2026-09-08T00:00:00.000Z</x:v>
      </x:c>
      <x:c r="C7" s="2" t="str">
        <x:v>8 сентября аренда квартиры 30000 руб</x:v>
      </x:c>
      <x:c r="D7" s="2" t="str">
        <x:v>расход</x:v>
      </x:c>
      <x:c r="E7" s="7" t="n">
        <x:v>30000</x:v>
      </x:c>
      <x:c r="F7" s="2" t="str">
        <x:v>Жильё</x:v>
      </x:c>
      <x:c r="G7" s="2" t="str">
        <x:v>да</x:v>
      </x:c>
      <x:c r="H7" s="2" t="str">
        <x:f>TEXT(B7,"yyyy-mm")</x:f>
        <x:v>2026-09</x:v>
      </x:c>
    </x:row>
    <x:row r="8" ht="26" customHeight="1">
      <x:c r="A8" s="2" t="str">
        <x:v>T007</x:v>
      </x:c>
      <x:c r="B8" s="10" t="d">
        <x:v>2026-09-10T00:00:00.000Z</x:v>
      </x:c>
      <x:c r="C8" s="2" t="str">
        <x:v>10 сентября кафе 1450</x:v>
      </x:c>
      <x:c r="D8" s="2" t="str">
        <x:v>расход</x:v>
      </x:c>
      <x:c r="E8" s="7" t="n">
        <x:v>1450</x:v>
      </x:c>
      <x:c r="F8" s="2" t="str">
        <x:v>Кафе</x:v>
      </x:c>
      <x:c r="G8" s="2" t="str">
        <x:v>нет</x:v>
      </x:c>
      <x:c r="H8" s="2" t="str">
        <x:f>TEXT(B8,"yyyy-mm")</x:f>
        <x:v>2026-09</x:v>
      </x:c>
    </x:row>
    <x:row r="9" ht="26" customHeight="1">
      <x:c r="A9" s="2" t="str">
        <x:v>T008</x:v>
      </x:c>
      <x:c r="B9" s="10" t="d">
        <x:v>2026-09-12T00:00:00.000Z</x:v>
      </x:c>
      <x:c r="C9" s="2" t="str">
        <x:v>12 сентября аптека 930 рублей</x:v>
      </x:c>
      <x:c r="D9" s="2" t="str">
        <x:v>расход</x:v>
      </x:c>
      <x:c r="E9" s="7" t="n">
        <x:v>930</x:v>
      </x:c>
      <x:c r="F9" s="2" t="str">
        <x:v>Здоровье</x:v>
      </x:c>
      <x:c r="G9" s="2" t="str">
        <x:v>нет</x:v>
      </x:c>
      <x:c r="H9" s="2" t="str">
        <x:f>TEXT(B9,"yyyy-mm")</x:f>
        <x:v>2026-09</x:v>
      </x:c>
    </x:row>
    <x:row r="10" ht="26" customHeight="1">
      <x:c r="A10" s="2" t="str">
        <x:v>T009</x:v>
      </x:c>
      <x:c r="B10" s="10" t="d">
        <x:v>2026-09-15T00:00:00.000Z</x:v>
      </x:c>
      <x:c r="C10" s="2" t="str">
        <x:v>15 сентября доставка еды 1790</x:v>
      </x:c>
      <x:c r="D10" s="2" t="str">
        <x:v>расход</x:v>
      </x:c>
      <x:c r="E10" s="7" t="n">
        <x:v>1790</x:v>
      </x:c>
      <x:c r="F10" s="2" t="str">
        <x:v>Доставка еды</x:v>
      </x:c>
      <x:c r="G10" s="2" t="str">
        <x:v>нет</x:v>
      </x:c>
      <x:c r="H10" s="2" t="str">
        <x:f>TEXT(B10,"yyyy-mm")</x:f>
        <x:v>2026-09</x:v>
      </x:c>
    </x:row>
    <x:row r="11" ht="26" customHeight="1">
      <x:c r="A11" s="2" t="str">
        <x:v>T010</x:v>
      </x:c>
      <x:c r="B11" s="10" t="d">
        <x:v>2026-09-19T00:00:00.000Z</x:v>
      </x:c>
      <x:c r="C11" s="2" t="str">
        <x:v>Вчера списали 499 рублей за подписку</x:v>
      </x:c>
      <x:c r="D11" s="2" t="str">
        <x:v>расход</x:v>
      </x:c>
      <x:c r="E11" s="7" t="n">
        <x:v>499</x:v>
      </x:c>
      <x:c r="F11" s="2" t="str">
        <x:v>Подписки</x:v>
      </x:c>
      <x:c r="G11" s="2" t="str">
        <x:v>да</x:v>
      </x:c>
      <x:c r="H11" s="2" t="str">
        <x:f>TEXT(B11,"yyyy-mm")</x:f>
        <x:v>2026-09</x:v>
      </x:c>
    </x:row>
    <x:row r="12" ht="26" customHeight="1">
      <x:c r="A12" s="2" t="str">
        <x:v>T011</x:v>
      </x:c>
      <x:c r="B12" s="10" t="d">
        <x:v>2026-09-18T00:00:00.000Z</x:v>
      </x:c>
      <x:c r="C12" s="2" t="str">
        <x:v>18 сентября магазин 3000</x:v>
      </x:c>
      <x:c r="D12" s="2" t="str">
        <x:v>расход</x:v>
      </x:c>
      <x:c r="E12" s="7" t="n">
        <x:v>3000</x:v>
      </x:c>
      <x:c r="F12" s="2" t="str">
        <x:v>Не определено</x:v>
      </x:c>
      <x:c r="G12" s="2" t="str">
        <x:v>нет</x:v>
      </x:c>
      <x:c r="H12" s="2" t="str">
        <x:f>TEXT(B12,"yyyy-mm")</x:f>
        <x:v>2026-09</x:v>
      </x:c>
    </x:row>
    <x:row r="13" ht="26" customHeight="1">
      <x:c r="A13" s="2" t="str">
        <x:v>T012</x:v>
      </x:c>
      <x:c r="B13" s="10" t="d">
        <x:v>2026-09-20T00:00:00.000Z</x:v>
      </x:c>
      <x:c r="C13" s="2" t="str">
        <x:v>20 сентября обучение 3500 рублей</x:v>
      </x:c>
      <x:c r="D13" s="2" t="str">
        <x:v>расход</x:v>
      </x:c>
      <x:c r="E13" s="7" t="n">
        <x:v>3500</x:v>
      </x:c>
      <x:c r="F13" s="2" t="str">
        <x:v>Обучение</x:v>
      </x:c>
      <x:c r="G13" s="2" t="str">
        <x:v>нет</x:v>
      </x:c>
      <x:c r="H13" s="2" t="str">
        <x:f>TEXT(B13,"yyyy-mm")</x:f>
        <x:v>2026-09</x:v>
      </x:c>
    </x:row>
    <x:row r="14" ht="26" customHeight="1">
      <x:c r="A14" s="2" t="str">
        <x:v>T013</x:v>
      </x:c>
      <x:c r="B14" s="10" t="d">
        <x:v>2026-08-01T00:00:00.000Z</x:v>
      </x:c>
      <x:c r="C14" s="2" t="str">
        <x:v>Зарплата</x:v>
      </x:c>
      <x:c r="D14" s="2" t="str">
        <x:v>доход</x:v>
      </x:c>
      <x:c r="E14" s="7" t="n">
        <x:v>85000</x:v>
      </x:c>
      <x:c r="F14" s="2" t="str">
        <x:v>Зарплата</x:v>
      </x:c>
      <x:c r="G14" s="2" t="str">
        <x:v>да</x:v>
      </x:c>
      <x:c r="H14" s="2" t="str">
        <x:f>TEXT(B14,"yyyy-mm")</x:f>
        <x:v>2026-08</x:v>
      </x:c>
    </x:row>
    <x:row r="15" ht="26" customHeight="1">
      <x:c r="A15" s="2" t="str">
        <x:v>T014</x:v>
      </x:c>
      <x:c r="B15" s="10" t="d">
        <x:v>2026-08-08T00:00:00.000Z</x:v>
      </x:c>
      <x:c r="C15" s="2" t="str">
        <x:v>Аренда квартиры</x:v>
      </x:c>
      <x:c r="D15" s="2" t="str">
        <x:v>расход</x:v>
      </x:c>
      <x:c r="E15" s="7" t="n">
        <x:v>30000</x:v>
      </x:c>
      <x:c r="F15" s="2" t="str">
        <x:v>Жильё</x:v>
      </x:c>
      <x:c r="G15" s="2" t="str">
        <x:v>да</x:v>
      </x:c>
      <x:c r="H15" s="2" t="str">
        <x:f>TEXT(B15,"yyyy-mm")</x:f>
        <x:v>2026-08</x:v>
      </x:c>
    </x:row>
    <x:row r="16" ht="26" customHeight="1">
      <x:c r="A16" s="2" t="str">
        <x:v>T015</x:v>
      </x:c>
      <x:c r="B16" s="10" t="d">
        <x:v>2026-08-15T00:00:00.000Z</x:v>
      </x:c>
      <x:c r="C16" s="2" t="str">
        <x:v>Подписка</x:v>
      </x:c>
      <x:c r="D16" s="2" t="str">
        <x:v>расход</x:v>
      </x:c>
      <x:c r="E16" s="7" t="n">
        <x:v>499</x:v>
      </x:c>
      <x:c r="F16" s="2" t="str">
        <x:v>Подписки</x:v>
      </x:c>
      <x:c r="G16" s="2" t="str">
        <x:v>да</x:v>
      </x:c>
      <x:c r="H16" s="2" t="str">
        <x:f>TEXT(B16,"yyyy-mm")</x:f>
        <x:v>2026-08</x:v>
      </x:c>
    </x:row>
    <x:row r="17" ht="26" customHeight="1">
      <x:c r="A17" s="2" t="str">
        <x:v>T016</x:v>
      </x:c>
      <x:c r="B17" s="10" t="d">
        <x:v>2026-08-22T00:00:00.000Z</x:v>
      </x:c>
      <x:c r="C17" s="2" t="str">
        <x:v>На свой накопительный счёт</x:v>
      </x:c>
      <x:c r="D17" s="2" t="str">
        <x:v>перевод между своими счетами</x:v>
      </x:c>
      <x:c r="E17" s="7" t="n">
        <x:v>12000</x:v>
      </x:c>
      <x:c r="F17" s="2" t="str">
        <x:v>Перевод</x:v>
      </x:c>
      <x:c r="G17" s="2" t="str">
        <x:v>нет</x:v>
      </x:c>
      <x:c r="H17" s="2" t="str">
        <x:f>TEXT(B17,"yyyy-mm")</x:f>
        <x:v>2026-08</x:v>
      </x:c>
    </x:row>
    <x:row r="18" ht="26" customHeight="1">
      <x:c r="A18" s="2" t="str">
        <x:v>T017</x:v>
      </x:c>
      <x:c r="B18" s="10" t="d">
        <x:v>2026-08-01T00:00:00.000Z</x:v>
      </x:c>
      <x:c r="C18" s="2" t="str">
        <x:v>Возврат покупки</x:v>
      </x:c>
      <x:c r="D18" s="2" t="str">
        <x:v>возврат покупки</x:v>
      </x:c>
      <x:c r="E18" s="7" t="n">
        <x:v>1800</x:v>
      </x:c>
      <x:c r="F18" s="2" t="str">
        <x:v>Возврат</x:v>
      </x:c>
      <x:c r="G18" s="2" t="str">
        <x:v>нет</x:v>
      </x:c>
      <x:c r="H18" s="2" t="str">
        <x:f>TEXT(B18,"yyyy-mm")</x:f>
        <x:v>2026-08</x:v>
      </x:c>
    </x:row>
    <x:row r="19" ht="26" customHeight="1">
      <x:c r="A19" s="2" t="str">
        <x:v>T018</x:v>
      </x:c>
      <x:c r="B19" s="10" t="d">
        <x:v>2026-08-08T00:00:00.000Z</x:v>
      </x:c>
      <x:c r="C19" s="2" t="str">
        <x:v>Доставка ужина</x:v>
      </x:c>
      <x:c r="D19" s="2" t="str">
        <x:v>расход</x:v>
      </x:c>
      <x:c r="E19" s="7" t="n">
        <x:v>900</x:v>
      </x:c>
      <x:c r="F19" s="2" t="str">
        <x:v>Доставка еды</x:v>
      </x:c>
      <x:c r="G19" s="2" t="str">
        <x:v>нет</x:v>
      </x:c>
      <x:c r="H19" s="2" t="str">
        <x:f>TEXT(B19,"yyyy-mm")</x:f>
        <x:v>2026-08</x:v>
      </x:c>
    </x:row>
    <x:row r="20" ht="26" customHeight="1">
      <x:c r="A20" s="2" t="str">
        <x:v>T019</x:v>
      </x:c>
      <x:c r="B20" s="10" t="d">
        <x:v>2026-08-15T00:00:00.000Z</x:v>
      </x:c>
      <x:c r="C20" s="2" t="str">
        <x:v>Поездка</x:v>
      </x:c>
      <x:c r="D20" s="2" t="str">
        <x:v>расход</x:v>
      </x:c>
      <x:c r="E20" s="7" t="n">
        <x:v>220</x:v>
      </x:c>
      <x:c r="F20" s="2" t="str">
        <x:v>Транспорт</x:v>
      </x:c>
      <x:c r="G20" s="2" t="str">
        <x:v>нет</x:v>
      </x:c>
      <x:c r="H20" s="2" t="str">
        <x:f>TEXT(B20,"yyyy-mm")</x:f>
        <x:v>2026-08</x:v>
      </x:c>
    </x:row>
    <x:row r="21" ht="26" customHeight="1">
      <x:c r="A21" s="2" t="str">
        <x:v>T020</x:v>
      </x:c>
      <x:c r="B21" s="10" t="d">
        <x:v>2026-08-22T00:00:00.000Z</x:v>
      </x:c>
      <x:c r="C21" s="2" t="str">
        <x:v>Кафе</x:v>
      </x:c>
      <x:c r="D21" s="2" t="str">
        <x:v>расход</x:v>
      </x:c>
      <x:c r="E21" s="7" t="n">
        <x:v>1750</x:v>
      </x:c>
      <x:c r="F21" s="2" t="str">
        <x:v>Кафе</x:v>
      </x:c>
      <x:c r="G21" s="2" t="str">
        <x:v>нет</x:v>
      </x:c>
      <x:c r="H21" s="2" t="str">
        <x:f>TEXT(B21,"yyyy-mm")</x:f>
        <x:v>2026-08</x:v>
      </x:c>
    </x:row>
    <x:row r="22" ht="26" customHeight="1">
      <x:c r="A22" s="2" t="str">
        <x:v>T021</x:v>
      </x:c>
      <x:c r="B22" s="10" t="d">
        <x:v>2026-08-01T00:00:00.000Z</x:v>
      </x:c>
      <x:c r="C22" s="2" t="str">
        <x:v>Поездка</x:v>
      </x:c>
      <x:c r="D22" s="2" t="str">
        <x:v>расход</x:v>
      </x:c>
      <x:c r="E22" s="7" t="n">
        <x:v>260</x:v>
      </x:c>
      <x:c r="F22" s="2" t="str">
        <x:v>Транспорт</x:v>
      </x:c>
      <x:c r="G22" s="2" t="str">
        <x:v>нет</x:v>
      </x:c>
      <x:c r="H22" s="2" t="str">
        <x:f>TEXT(B22,"yyyy-mm")</x:f>
        <x:v>2026-08</x:v>
      </x:c>
    </x:row>
    <x:row r="23" ht="26" customHeight="1">
      <x:c r="A23" s="2" t="str">
        <x:v>T022</x:v>
      </x:c>
      <x:c r="B23" s="10" t="d">
        <x:v>2026-08-08T00:00:00.000Z</x:v>
      </x:c>
      <x:c r="C23" s="2" t="str">
        <x:v>Поездка</x:v>
      </x:c>
      <x:c r="D23" s="2" t="str">
        <x:v>расход</x:v>
      </x:c>
      <x:c r="E23" s="7" t="n">
        <x:v>720</x:v>
      </x:c>
      <x:c r="F23" s="2" t="str">
        <x:v>Транспорт</x:v>
      </x:c>
      <x:c r="G23" s="2" t="str">
        <x:v>нет</x:v>
      </x:c>
      <x:c r="H23" s="2" t="str">
        <x:f>TEXT(B23,"yyyy-mm")</x:f>
        <x:v>2026-08</x:v>
      </x:c>
    </x:row>
    <x:row r="24" ht="26" customHeight="1">
      <x:c r="A24" s="2" t="str">
        <x:v>T023</x:v>
      </x:c>
      <x:c r="B24" s="10" t="d">
        <x:v>2026-08-15T00:00:00.000Z</x:v>
      </x:c>
      <x:c r="C24" s="2" t="str">
        <x:v>Покупка продуктов</x:v>
      </x:c>
      <x:c r="D24" s="2" t="str">
        <x:v>расход</x:v>
      </x:c>
      <x:c r="E24" s="7" t="n">
        <x:v>3690</x:v>
      </x:c>
      <x:c r="F24" s="2" t="str">
        <x:v>Продукты</x:v>
      </x:c>
      <x:c r="G24" s="2" t="str">
        <x:v>нет</x:v>
      </x:c>
      <x:c r="H24" s="2" t="str">
        <x:f>TEXT(B24,"yyyy-mm")</x:f>
        <x:v>2026-08</x:v>
      </x:c>
    </x:row>
    <x:row r="25" ht="26" customHeight="1">
      <x:c r="A25" s="2" t="str">
        <x:v>T024</x:v>
      </x:c>
      <x:c r="B25" s="10" t="d">
        <x:v>2026-08-22T00:00:00.000Z</x:v>
      </x:c>
      <x:c r="C25" s="2" t="str">
        <x:v>Поездка</x:v>
      </x:c>
      <x:c r="D25" s="2" t="str">
        <x:v>расход</x:v>
      </x:c>
      <x:c r="E25" s="7" t="n">
        <x:v>980</x:v>
      </x:c>
      <x:c r="F25" s="2" t="str">
        <x:v>Транспорт</x:v>
      </x:c>
      <x:c r="G25" s="2" t="str">
        <x:v>нет</x:v>
      </x:c>
      <x:c r="H25" s="2" t="str">
        <x:f>TEXT(B25,"yyyy-mm")</x:f>
        <x:v>2026-08</x:v>
      </x:c>
    </x:row>
    <x:row r="26" ht="26" customHeight="1">
      <x:c r="A26" s="2" t="str">
        <x:v>T025</x:v>
      </x:c>
      <x:c r="B26" s="10" t="d">
        <x:v>2026-08-01T00:00:00.000Z</x:v>
      </x:c>
      <x:c r="C26" s="2" t="str">
        <x:v>Книга или курс</x:v>
      </x:c>
      <x:c r="D26" s="2" t="str">
        <x:v>расход</x:v>
      </x:c>
      <x:c r="E26" s="7" t="n">
        <x:v>3200</x:v>
      </x:c>
      <x:c r="F26" s="2" t="str">
        <x:v>Обучение</x:v>
      </x:c>
      <x:c r="G26" s="2" t="str">
        <x:v>нет</x:v>
      </x:c>
      <x:c r="H26" s="2" t="str">
        <x:f>TEXT(B26,"yyyy-mm")</x:f>
        <x:v>2026-08</x:v>
      </x:c>
    </x:row>
    <x:row r="27" ht="26" customHeight="1">
      <x:c r="A27" s="2" t="str">
        <x:v>T026</x:v>
      </x:c>
      <x:c r="B27" s="10" t="d">
        <x:v>2026-08-08T00:00:00.000Z</x:v>
      </x:c>
      <x:c r="C27" s="2" t="str">
        <x:v>Поездка</x:v>
      </x:c>
      <x:c r="D27" s="2" t="str">
        <x:v>расход</x:v>
      </x:c>
      <x:c r="E27" s="7" t="n">
        <x:v>370</x:v>
      </x:c>
      <x:c r="F27" s="2" t="str">
        <x:v>Транспорт</x:v>
      </x:c>
      <x:c r="G27" s="2" t="str">
        <x:v>нет</x:v>
      </x:c>
      <x:c r="H27" s="2" t="str">
        <x:f>TEXT(B27,"yyyy-mm")</x:f>
        <x:v>2026-08</x:v>
      </x:c>
    </x:row>
    <x:row r="28" ht="26" customHeight="1">
      <x:c r="A28" s="2" t="str">
        <x:v>T027</x:v>
      </x:c>
      <x:c r="B28" s="10" t="d">
        <x:v>2026-08-15T00:00:00.000Z</x:v>
      </x:c>
      <x:c r="C28" s="2" t="str">
        <x:v>Покупка продуктов</x:v>
      </x:c>
      <x:c r="D28" s="2" t="str">
        <x:v>расход</x:v>
      </x:c>
      <x:c r="E28" s="7" t="n">
        <x:v>1040</x:v>
      </x:c>
      <x:c r="F28" s="2" t="str">
        <x:v>Продукты</x:v>
      </x:c>
      <x:c r="G28" s="2" t="str">
        <x:v>нет</x:v>
      </x:c>
      <x:c r="H28" s="2" t="str">
        <x:f>TEXT(B28,"yyyy-mm")</x:f>
        <x:v>2026-08</x:v>
      </x:c>
    </x:row>
    <x:row r="29" ht="26" customHeight="1">
      <x:c r="A29" s="2" t="str">
        <x:v>T028</x:v>
      </x:c>
      <x:c r="B29" s="10" t="d">
        <x:v>2026-08-22T00:00:00.000Z</x:v>
      </x:c>
      <x:c r="C29" s="2" t="str">
        <x:v>Поездка</x:v>
      </x:c>
      <x:c r="D29" s="2" t="str">
        <x:v>расход</x:v>
      </x:c>
      <x:c r="E29" s="7" t="n">
        <x:v>320</x:v>
      </x:c>
      <x:c r="F29" s="2" t="str">
        <x:v>Транспорт</x:v>
      </x:c>
      <x:c r="G29" s="2" t="str">
        <x:v>нет</x:v>
      </x:c>
      <x:c r="H29" s="2" t="str">
        <x:f>TEXT(B29,"yyyy-mm")</x:f>
        <x:v>2026-08</x:v>
      </x:c>
    </x:row>
    <x:row r="30" ht="26" customHeight="1">
      <x:c r="A30" s="2" t="str">
        <x:v>T029</x:v>
      </x:c>
      <x:c r="B30" s="10" t="d">
        <x:v>2026-08-01T00:00:00.000Z</x:v>
      </x:c>
      <x:c r="C30" s="2" t="str">
        <x:v>Книга или курс</x:v>
      </x:c>
      <x:c r="D30" s="2" t="str">
        <x:v>расход</x:v>
      </x:c>
      <x:c r="E30" s="7" t="n">
        <x:v>1870</x:v>
      </x:c>
      <x:c r="F30" s="2" t="str">
        <x:v>Обучение</x:v>
      </x:c>
      <x:c r="G30" s="2" t="str">
        <x:v>нет</x:v>
      </x:c>
      <x:c r="H30" s="2" t="str">
        <x:f>TEXT(B30,"yyyy-mm")</x:f>
        <x:v>2026-08</x:v>
      </x:c>
    </x:row>
    <x:row r="31" ht="26" customHeight="1">
      <x:c r="A31" s="2" t="str">
        <x:v>T030</x:v>
      </x:c>
      <x:c r="B31" s="10" t="d">
        <x:v>2026-08-08T00:00:00.000Z</x:v>
      </x:c>
      <x:c r="C31" s="2" t="str">
        <x:v>Доставка ужина</x:v>
      </x:c>
      <x:c r="D31" s="2" t="str">
        <x:v>расход</x:v>
      </x:c>
      <x:c r="E31" s="7" t="n">
        <x:v>1740</x:v>
      </x:c>
      <x:c r="F31" s="2" t="str">
        <x:v>Доставка еды</x:v>
      </x:c>
      <x:c r="G31" s="2" t="str">
        <x:v>нет</x:v>
      </x:c>
      <x:c r="H31" s="2" t="str">
        <x:f>TEXT(B31,"yyyy-mm")</x:f>
        <x:v>2026-08</x:v>
      </x:c>
    </x:row>
    <x:row r="32" ht="26" customHeight="1">
      <x:c r="A32" s="2" t="str">
        <x:v>T031</x:v>
      </x:c>
      <x:c r="B32" s="10" t="d">
        <x:v>2026-08-15T00:00:00.000Z</x:v>
      </x:c>
      <x:c r="C32" s="2" t="str">
        <x:v>Кафе</x:v>
      </x:c>
      <x:c r="D32" s="2" t="str">
        <x:v>расход</x:v>
      </x:c>
      <x:c r="E32" s="7" t="n">
        <x:v>970</x:v>
      </x:c>
      <x:c r="F32" s="2" t="str">
        <x:v>Кафе</x:v>
      </x:c>
      <x:c r="G32" s="2" t="str">
        <x:v>нет</x:v>
      </x:c>
      <x:c r="H32" s="2" t="str">
        <x:f>TEXT(B32,"yyyy-mm")</x:f>
        <x:v>2026-08</x:v>
      </x:c>
    </x:row>
    <x:row r="33" ht="26" customHeight="1">
      <x:c r="A33" s="2" t="str">
        <x:v>T032</x:v>
      </x:c>
      <x:c r="B33" s="10" t="d">
        <x:v>2026-08-22T00:00:00.000Z</x:v>
      </x:c>
      <x:c r="C33" s="2" t="str">
        <x:v>Бытовая покупка</x:v>
      </x:c>
      <x:c r="D33" s="2" t="str">
        <x:v>расход</x:v>
      </x:c>
      <x:c r="E33" s="7" t="n">
        <x:v>2000</x:v>
      </x:c>
      <x:c r="F33" s="2" t="str">
        <x:v>Прочее</x:v>
      </x:c>
      <x:c r="G33" s="2" t="str">
        <x:v>нет</x:v>
      </x:c>
      <x:c r="H33" s="2" t="str">
        <x:f>TEXT(B33,"yyyy-mm")</x:f>
        <x:v>2026-08</x:v>
      </x:c>
    </x:row>
    <x:row r="34" ht="26" customHeight="1">
      <x:c r="A34" s="2" t="str">
        <x:v>T033</x:v>
      </x:c>
      <x:c r="B34" s="10" t="d">
        <x:v>2026-08-01T00:00:00.000Z</x:v>
      </x:c>
      <x:c r="C34" s="2" t="str">
        <x:v>Доставка ужина</x:v>
      </x:c>
      <x:c r="D34" s="2" t="str">
        <x:v>расход</x:v>
      </x:c>
      <x:c r="E34" s="7" t="n">
        <x:v>2520</x:v>
      </x:c>
      <x:c r="F34" s="2" t="str">
        <x:v>Доставка еды</x:v>
      </x:c>
      <x:c r="G34" s="2" t="str">
        <x:v>нет</x:v>
      </x:c>
      <x:c r="H34" s="2" t="str">
        <x:f>TEXT(B34,"yyyy-mm")</x:f>
        <x:v>2026-08</x:v>
      </x:c>
    </x:row>
    <x:row r="35" ht="26" customHeight="1">
      <x:c r="A35" s="2" t="str">
        <x:v>T034</x:v>
      </x:c>
      <x:c r="B35" s="10" t="d">
        <x:v>2026-08-08T00:00:00.000Z</x:v>
      </x:c>
      <x:c r="C35" s="2" t="str">
        <x:v>Книга или курс</x:v>
      </x:c>
      <x:c r="D35" s="2" t="str">
        <x:v>расход</x:v>
      </x:c>
      <x:c r="E35" s="7" t="n">
        <x:v>960</x:v>
      </x:c>
      <x:c r="F35" s="2" t="str">
        <x:v>Обучение</x:v>
      </x:c>
      <x:c r="G35" s="2" t="str">
        <x:v>нет</x:v>
      </x:c>
      <x:c r="H35" s="2" t="str">
        <x:f>TEXT(B35,"yyyy-mm")</x:f>
        <x:v>2026-08</x:v>
      </x:c>
    </x:row>
    <x:row r="36" ht="26" customHeight="1">
      <x:c r="A36" s="2" t="str">
        <x:v>T035</x:v>
      </x:c>
      <x:c r="B36" s="10" t="d">
        <x:v>2026-08-15T00:00:00.000Z</x:v>
      </x:c>
      <x:c r="C36" s="2" t="str">
        <x:v>Кафе</x:v>
      </x:c>
      <x:c r="D36" s="2" t="str">
        <x:v>расход</x:v>
      </x:c>
      <x:c r="E36" s="7" t="n">
        <x:v>970</x:v>
      </x:c>
      <x:c r="F36" s="2" t="str">
        <x:v>Кафе</x:v>
      </x:c>
      <x:c r="G36" s="2" t="str">
        <x:v>нет</x:v>
      </x:c>
      <x:c r="H36" s="2" t="str">
        <x:f>TEXT(B36,"yyyy-mm")</x:f>
        <x:v>2026-08</x:v>
      </x:c>
    </x:row>
    <x:row r="37" ht="26" customHeight="1">
      <x:c r="A37" s="2" t="str">
        <x:v>T036</x:v>
      </x:c>
      <x:c r="B37" s="10" t="d">
        <x:v>2026-08-22T00:00:00.000Z</x:v>
      </x:c>
      <x:c r="C37" s="2" t="str">
        <x:v>Покупка продуктов</x:v>
      </x:c>
      <x:c r="D37" s="2" t="str">
        <x:v>расход</x:v>
      </x:c>
      <x:c r="E37" s="7" t="n">
        <x:v>4500</x:v>
      </x:c>
      <x:c r="F37" s="2" t="str">
        <x:v>Продукты</x:v>
      </x:c>
      <x:c r="G37" s="2" t="str">
        <x:v>нет</x:v>
      </x:c>
      <x:c r="H37" s="2" t="str">
        <x:f>TEXT(B37,"yyyy-mm")</x:f>
        <x:v>2026-08</x:v>
      </x:c>
    </x:row>
    <x:row r="38" ht="26" customHeight="1">
      <x:c r="A38" s="2" t="str">
        <x:v>T037</x:v>
      </x:c>
      <x:c r="B38" s="10" t="d">
        <x:v>2026-08-01T00:00:00.000Z</x:v>
      </x:c>
      <x:c r="C38" s="2" t="str">
        <x:v>Аптека</x:v>
      </x:c>
      <x:c r="D38" s="2" t="str">
        <x:v>расход</x:v>
      </x:c>
      <x:c r="E38" s="7" t="n">
        <x:v>550</x:v>
      </x:c>
      <x:c r="F38" s="2" t="str">
        <x:v>Здоровье</x:v>
      </x:c>
      <x:c r="G38" s="2" t="str">
        <x:v>нет</x:v>
      </x:c>
      <x:c r="H38" s="2" t="str">
        <x:f>TEXT(B38,"yyyy-mm")</x:f>
        <x:v>2026-08</x:v>
      </x:c>
    </x:row>
    <x:row r="39" ht="26" customHeight="1">
      <x:c r="A39" s="2" t="str">
        <x:v>T038</x:v>
      </x:c>
      <x:c r="B39" s="10" t="d">
        <x:v>2026-08-08T00:00:00.000Z</x:v>
      </x:c>
      <x:c r="C39" s="2" t="str">
        <x:v>Аптека</x:v>
      </x:c>
      <x:c r="D39" s="2" t="str">
        <x:v>расход</x:v>
      </x:c>
      <x:c r="E39" s="7" t="n">
        <x:v>1350</x:v>
      </x:c>
      <x:c r="F39" s="2" t="str">
        <x:v>Здоровье</x:v>
      </x:c>
      <x:c r="G39" s="2" t="str">
        <x:v>нет</x:v>
      </x:c>
      <x:c r="H39" s="2" t="str">
        <x:f>TEXT(B39,"yyyy-mm")</x:f>
        <x:v>2026-08</x:v>
      </x:c>
    </x:row>
    <x:row r="40" ht="26" customHeight="1">
      <x:c r="A40" s="2" t="str">
        <x:v>T039</x:v>
      </x:c>
      <x:c r="B40" s="10" t="d">
        <x:v>2026-08-15T00:00:00.000Z</x:v>
      </x:c>
      <x:c r="C40" s="2" t="str">
        <x:v>Доставка ужина</x:v>
      </x:c>
      <x:c r="D40" s="2" t="str">
        <x:v>расход</x:v>
      </x:c>
      <x:c r="E40" s="7" t="n">
        <x:v>1250</x:v>
      </x:c>
      <x:c r="F40" s="2" t="str">
        <x:v>Доставка еды</x:v>
      </x:c>
      <x:c r="G40" s="2" t="str">
        <x:v>нет</x:v>
      </x:c>
      <x:c r="H40" s="2" t="str">
        <x:f>TEXT(B40,"yyyy-mm")</x:f>
        <x:v>2026-08</x:v>
      </x:c>
    </x:row>
    <x:row r="41" ht="26" customHeight="1">
      <x:c r="A41" s="2" t="str">
        <x:v>T040</x:v>
      </x:c>
      <x:c r="B41" s="10" t="d">
        <x:v>2026-08-22T00:00:00.000Z</x:v>
      </x:c>
      <x:c r="C41" s="2" t="str">
        <x:v>Доставка ужина</x:v>
      </x:c>
      <x:c r="D41" s="2" t="str">
        <x:v>расход</x:v>
      </x:c>
      <x:c r="E41" s="7" t="n">
        <x:v>1520</x:v>
      </x:c>
      <x:c r="F41" s="2" t="str">
        <x:v>Доставка еды</x:v>
      </x:c>
      <x:c r="G41" s="2" t="str">
        <x:v>нет</x:v>
      </x:c>
      <x:c r="H41" s="2" t="str">
        <x:f>TEXT(B41,"yyyy-mm")</x:f>
        <x:v>2026-08</x:v>
      </x:c>
    </x:row>
    <x:row r="42" ht="26" customHeight="1">
      <x:c r="A42" s="2" t="str">
        <x:v>T041</x:v>
      </x:c>
      <x:c r="B42" s="10" t="d">
        <x:v>2026-08-01T00:00:00.000Z</x:v>
      </x:c>
      <x:c r="C42" s="2" t="str">
        <x:v>Поездка</x:v>
      </x:c>
      <x:c r="D42" s="2" t="str">
        <x:v>расход</x:v>
      </x:c>
      <x:c r="E42" s="7" t="n">
        <x:v>570</x:v>
      </x:c>
      <x:c r="F42" s="2" t="str">
        <x:v>Транспорт</x:v>
      </x:c>
      <x:c r="G42" s="2" t="str">
        <x:v>нет</x:v>
      </x:c>
      <x:c r="H42" s="2" t="str">
        <x:f>TEXT(B42,"yyyy-mm")</x:f>
        <x:v>2026-08</x:v>
      </x:c>
    </x:row>
    <x:row r="43" ht="26" customHeight="1">
      <x:c r="A43" s="2" t="str">
        <x:v>T042</x:v>
      </x:c>
      <x:c r="B43" s="10" t="d">
        <x:v>2026-08-08T00:00:00.000Z</x:v>
      </x:c>
      <x:c r="C43" s="2" t="str">
        <x:v>Аптека</x:v>
      </x:c>
      <x:c r="D43" s="2" t="str">
        <x:v>расход</x:v>
      </x:c>
      <x:c r="E43" s="7" t="n">
        <x:v>1000</x:v>
      </x:c>
      <x:c r="F43" s="2" t="str">
        <x:v>Здоровье</x:v>
      </x:c>
      <x:c r="G43" s="2" t="str">
        <x:v>нет</x:v>
      </x:c>
      <x:c r="H43" s="2" t="str">
        <x:f>TEXT(B43,"yyyy-mm")</x:f>
        <x:v>2026-08</x:v>
      </x:c>
    </x:row>
    <x:row r="44" ht="26" customHeight="1">
      <x:c r="A44" s="2" t="str">
        <x:v>T043</x:v>
      </x:c>
      <x:c r="B44" s="10" t="d">
        <x:v>2026-08-15T00:00:00.000Z</x:v>
      </x:c>
      <x:c r="C44" s="2" t="str">
        <x:v>Покупка продуктов</x:v>
      </x:c>
      <x:c r="D44" s="2" t="str">
        <x:v>расход</x:v>
      </x:c>
      <x:c r="E44" s="7" t="n">
        <x:v>1080</x:v>
      </x:c>
      <x:c r="F44" s="2" t="str">
        <x:v>Продукты</x:v>
      </x:c>
      <x:c r="G44" s="2" t="str">
        <x:v>нет</x:v>
      </x:c>
      <x:c r="H44" s="2" t="str">
        <x:f>TEXT(B44,"yyyy-mm")</x:f>
        <x:v>2026-08</x:v>
      </x:c>
    </x:row>
    <x:row r="45" ht="26" customHeight="1">
      <x:c r="A45" s="2" t="str">
        <x:v>T044</x:v>
      </x:c>
      <x:c r="B45" s="10" t="d">
        <x:v>2026-08-22T00:00:00.000Z</x:v>
      </x:c>
      <x:c r="C45" s="2" t="str">
        <x:v>Кафе</x:v>
      </x:c>
      <x:c r="D45" s="2" t="str">
        <x:v>расход</x:v>
      </x:c>
      <x:c r="E45" s="7" t="n">
        <x:v>690</x:v>
      </x:c>
      <x:c r="F45" s="2" t="str">
        <x:v>Кафе</x:v>
      </x:c>
      <x:c r="G45" s="2" t="str">
        <x:v>нет</x:v>
      </x:c>
      <x:c r="H45" s="2" t="str">
        <x:f>TEXT(B45,"yyyy-mm")</x:f>
        <x:v>2026-08</x:v>
      </x:c>
    </x:row>
    <x:row r="46" ht="26" customHeight="1">
      <x:c r="A46" s="2" t="str">
        <x:v>T045</x:v>
      </x:c>
      <x:c r="B46" s="10" t="d">
        <x:v>2026-08-01T00:00:00.000Z</x:v>
      </x:c>
      <x:c r="C46" s="2" t="str">
        <x:v>Поездка</x:v>
      </x:c>
      <x:c r="D46" s="2" t="str">
        <x:v>расход</x:v>
      </x:c>
      <x:c r="E46" s="7" t="n">
        <x:v>1040</x:v>
      </x:c>
      <x:c r="F46" s="2" t="str">
        <x:v>Транспорт</x:v>
      </x:c>
      <x:c r="G46" s="2" t="str">
        <x:v>нет</x:v>
      </x:c>
      <x:c r="H46" s="2" t="str">
        <x:f>TEXT(B46,"yyyy-mm")</x:f>
        <x:v>2026-08</x:v>
      </x:c>
    </x:row>
    <x:row r="47" ht="26" customHeight="1">
      <x:c r="A47" s="2" t="str">
        <x:v>T046</x:v>
      </x:c>
      <x:c r="B47" s="10" t="d">
        <x:v>2026-08-08T00:00:00.000Z</x:v>
      </x:c>
      <x:c r="C47" s="2" t="str">
        <x:v>Покупка продуктов</x:v>
      </x:c>
      <x:c r="D47" s="2" t="str">
        <x:v>расход</x:v>
      </x:c>
      <x:c r="E47" s="7" t="n">
        <x:v>2880</x:v>
      </x:c>
      <x:c r="F47" s="2" t="str">
        <x:v>Продукты</x:v>
      </x:c>
      <x:c r="G47" s="2" t="str">
        <x:v>нет</x:v>
      </x:c>
      <x:c r="H47" s="2" t="str">
        <x:f>TEXT(B47,"yyyy-mm")</x:f>
        <x:v>2026-08</x:v>
      </x:c>
    </x:row>
    <x:row r="48" ht="26" customHeight="1">
      <x:c r="A48" s="2" t="str">
        <x:v>T047</x:v>
      </x:c>
      <x:c r="B48" s="10" t="d">
        <x:v>2026-08-15T00:00:00.000Z</x:v>
      </x:c>
      <x:c r="C48" s="2" t="str">
        <x:v>Книга или курс</x:v>
      </x:c>
      <x:c r="D48" s="2" t="str">
        <x:v>расход</x:v>
      </x:c>
      <x:c r="E48" s="7" t="n">
        <x:v>1470</x:v>
      </x:c>
      <x:c r="F48" s="2" t="str">
        <x:v>Обучение</x:v>
      </x:c>
      <x:c r="G48" s="2" t="str">
        <x:v>нет</x:v>
      </x:c>
      <x:c r="H48" s="2" t="str">
        <x:f>TEXT(B48,"yyyy-mm")</x:f>
        <x:v>2026-08</x:v>
      </x:c>
    </x:row>
    <x:row r="49" ht="26" customHeight="1">
      <x:c r="A49" s="2" t="str">
        <x:v>T048</x:v>
      </x:c>
      <x:c r="B49" s="10" t="d">
        <x:v>2026-08-22T00:00:00.000Z</x:v>
      </x:c>
      <x:c r="C49" s="2" t="str">
        <x:v>Покупка продуктов</x:v>
      </x:c>
      <x:c r="D49" s="2" t="str">
        <x:v>расход</x:v>
      </x:c>
      <x:c r="E49" s="7" t="n">
        <x:v>3670</x:v>
      </x:c>
      <x:c r="F49" s="2" t="str">
        <x:v>Продукты</x:v>
      </x:c>
      <x:c r="G49" s="2" t="str">
        <x:v>нет</x:v>
      </x:c>
      <x:c r="H49" s="2" t="str">
        <x:f>TEXT(B49,"yyyy-mm")</x:f>
        <x:v>2026-08</x:v>
      </x:c>
    </x:row>
    <x:row r="50" ht="26" customHeight="1">
      <x:c r="A50" s="2" t="str">
        <x:v>T049</x:v>
      </x:c>
      <x:c r="B50" s="10" t="d">
        <x:v>2026-08-01T00:00:00.000Z</x:v>
      </x:c>
      <x:c r="C50" s="2" t="str">
        <x:v>Книга или курс</x:v>
      </x:c>
      <x:c r="D50" s="2" t="str">
        <x:v>расход</x:v>
      </x:c>
      <x:c r="E50" s="7" t="n">
        <x:v>2550</x:v>
      </x:c>
      <x:c r="F50" s="2" t="str">
        <x:v>Обучение</x:v>
      </x:c>
      <x:c r="G50" s="2" t="str">
        <x:v>нет</x:v>
      </x:c>
      <x:c r="H50" s="2" t="str">
        <x:f>TEXT(B50,"yyyy-mm")</x:f>
        <x:v>2026-08</x:v>
      </x:c>
    </x:row>
    <x:row r="51" ht="26" customHeight="1">
      <x:c r="A51" s="2" t="str">
        <x:v>T050</x:v>
      </x:c>
      <x:c r="B51" s="10" t="d">
        <x:v>2026-08-08T00:00:00.000Z</x:v>
      </x:c>
      <x:c r="C51" s="2" t="str">
        <x:v>Аптека</x:v>
      </x:c>
      <x:c r="D51" s="2" t="str">
        <x:v>расход</x:v>
      </x:c>
      <x:c r="E51" s="7" t="n">
        <x:v>2880</x:v>
      </x:c>
      <x:c r="F51" s="2" t="str">
        <x:v>Здоровье</x:v>
      </x:c>
      <x:c r="G51" s="2" t="str">
        <x:v>нет</x:v>
      </x:c>
      <x:c r="H51" s="2" t="str">
        <x:f>TEXT(B51,"yyyy-mm")</x:f>
        <x:v>2026-08</x:v>
      </x:c>
    </x:row>
    <x:row r="52" ht="26" customHeight="1">
      <x:c r="A52" s="2" t="str">
        <x:v>T051</x:v>
      </x:c>
      <x:c r="B52" s="10" t="d">
        <x:v>2026-08-15T00:00:00.000Z</x:v>
      </x:c>
      <x:c r="C52" s="2" t="str">
        <x:v>Доставка ужина</x:v>
      </x:c>
      <x:c r="D52" s="2" t="str">
        <x:v>расход</x:v>
      </x:c>
      <x:c r="E52" s="7" t="n">
        <x:v>2270</x:v>
      </x:c>
      <x:c r="F52" s="2" t="str">
        <x:v>Доставка еды</x:v>
      </x:c>
      <x:c r="G52" s="2" t="str">
        <x:v>нет</x:v>
      </x:c>
      <x:c r="H52" s="2" t="str">
        <x:f>TEXT(B52,"yyyy-mm")</x:f>
        <x:v>2026-08</x:v>
      </x:c>
    </x:row>
    <x:row r="53" ht="26" customHeight="1">
      <x:c r="A53" s="2" t="str">
        <x:v>T052</x:v>
      </x:c>
      <x:c r="B53" s="10" t="d">
        <x:v>2026-08-22T00:00:00.000Z</x:v>
      </x:c>
      <x:c r="C53" s="2" t="str">
        <x:v>Поездка</x:v>
      </x:c>
      <x:c r="D53" s="2" t="str">
        <x:v>расход</x:v>
      </x:c>
      <x:c r="E53" s="7" t="n">
        <x:v>1040</x:v>
      </x:c>
      <x:c r="F53" s="2" t="str">
        <x:v>Транспорт</x:v>
      </x:c>
      <x:c r="G53" s="2" t="str">
        <x:v>нет</x:v>
      </x:c>
      <x:c r="H53" s="2" t="str">
        <x:f>TEXT(B53,"yyyy-mm")</x:f>
        <x:v>2026-08</x:v>
      </x:c>
    </x:row>
    <x:row r="54" ht="26" customHeight="1">
      <x:c r="A54" s="2" t="str">
        <x:v>T053</x:v>
      </x:c>
      <x:c r="B54" s="10" t="d">
        <x:v>2026-08-01T00:00:00.000Z</x:v>
      </x:c>
      <x:c r="C54" s="2" t="str">
        <x:v>Поездка</x:v>
      </x:c>
      <x:c r="D54" s="2" t="str">
        <x:v>расход</x:v>
      </x:c>
      <x:c r="E54" s="7" t="n">
        <x:v>690</x:v>
      </x:c>
      <x:c r="F54" s="2" t="str">
        <x:v>Транспорт</x:v>
      </x:c>
      <x:c r="G54" s="2" t="str">
        <x:v>нет</x:v>
      </x:c>
      <x:c r="H54" s="2" t="str">
        <x:f>TEXT(B54,"yyyy-mm")</x:f>
        <x:v>2026-08</x:v>
      </x:c>
    </x:row>
    <x:row r="55" ht="26" customHeight="1">
      <x:c r="A55" s="2" t="str">
        <x:v>T054</x:v>
      </x:c>
      <x:c r="B55" s="10" t="d">
        <x:v>2026-08-08T00:00:00.000Z</x:v>
      </x:c>
      <x:c r="C55" s="2" t="str">
        <x:v>Доставка ужина</x:v>
      </x:c>
      <x:c r="D55" s="2" t="str">
        <x:v>расход</x:v>
      </x:c>
      <x:c r="E55" s="7" t="n">
        <x:v>1230</x:v>
      </x:c>
      <x:c r="F55" s="2" t="str">
        <x:v>Доставка еды</x:v>
      </x:c>
      <x:c r="G55" s="2" t="str">
        <x:v>нет</x:v>
      </x:c>
      <x:c r="H55" s="2" t="str">
        <x:f>TEXT(B55,"yyyy-mm")</x:f>
        <x:v>2026-08</x:v>
      </x:c>
    </x:row>
    <x:row r="56" ht="26" customHeight="1">
      <x:c r="A56" s="2" t="str">
        <x:v>T055</x:v>
      </x:c>
      <x:c r="B56" s="10" t="d">
        <x:v>2026-08-15T00:00:00.000Z</x:v>
      </x:c>
      <x:c r="C56" s="2" t="str">
        <x:v>Книга или курс</x:v>
      </x:c>
      <x:c r="D56" s="2" t="str">
        <x:v>расход</x:v>
      </x:c>
      <x:c r="E56" s="7" t="n">
        <x:v>1420</x:v>
      </x:c>
      <x:c r="F56" s="2" t="str">
        <x:v>Обучение</x:v>
      </x:c>
      <x:c r="G56" s="2" t="str">
        <x:v>нет</x:v>
      </x:c>
      <x:c r="H56" s="2" t="str">
        <x:f>TEXT(B56,"yyyy-mm")</x:f>
        <x:v>2026-08</x:v>
      </x:c>
    </x:row>
    <x:row r="57" ht="26" customHeight="1">
      <x:c r="A57" s="2" t="str">
        <x:v>T056</x:v>
      </x:c>
      <x:c r="B57" s="10" t="d">
        <x:v>2026-08-22T00:00:00.000Z</x:v>
      </x:c>
      <x:c r="C57" s="2" t="str">
        <x:v>Кафе</x:v>
      </x:c>
      <x:c r="D57" s="2" t="str">
        <x:v>расход</x:v>
      </x:c>
      <x:c r="E57" s="7" t="n">
        <x:v>1670</x:v>
      </x:c>
      <x:c r="F57" s="2" t="str">
        <x:v>Кафе</x:v>
      </x:c>
      <x:c r="G57" s="2" t="str">
        <x:v>нет</x:v>
      </x:c>
      <x:c r="H57" s="2" t="str">
        <x:f>TEXT(B57,"yyyy-mm")</x:f>
        <x:v>2026-08</x:v>
      </x:c>
    </x:row>
    <x:row r="58" ht="26" customHeight="1">
      <x:c r="A58" s="2" t="str">
        <x:v>T057</x:v>
      </x:c>
      <x:c r="B58" s="10" t="d">
        <x:v>2026-08-01T00:00:00.000Z</x:v>
      </x:c>
      <x:c r="C58" s="2" t="str">
        <x:v>Кафе</x:v>
      </x:c>
      <x:c r="D58" s="2" t="str">
        <x:v>расход</x:v>
      </x:c>
      <x:c r="E58" s="7" t="n">
        <x:v>1610</x:v>
      </x:c>
      <x:c r="F58" s="2" t="str">
        <x:v>Кафе</x:v>
      </x:c>
      <x:c r="G58" s="2" t="str">
        <x:v>нет</x:v>
      </x:c>
      <x:c r="H58" s="2" t="str">
        <x:f>TEXT(B58,"yyyy-mm")</x:f>
        <x:v>2026-08</x:v>
      </x:c>
    </x:row>
    <x:row r="59" ht="26" customHeight="1">
      <x:c r="A59" s="2" t="str">
        <x:v>T058</x:v>
      </x:c>
      <x:c r="B59" s="10" t="d">
        <x:v>2026-08-08T00:00:00.000Z</x:v>
      </x:c>
      <x:c r="C59" s="2" t="str">
        <x:v>Доставка ужина</x:v>
      </x:c>
      <x:c r="D59" s="2" t="str">
        <x:v>расход</x:v>
      </x:c>
      <x:c r="E59" s="7" t="n">
        <x:v>1870</x:v>
      </x:c>
      <x:c r="F59" s="2" t="str">
        <x:v>Доставка еды</x:v>
      </x:c>
      <x:c r="G59" s="2" t="str">
        <x:v>нет</x:v>
      </x:c>
      <x:c r="H59" s="2" t="str">
        <x:f>TEXT(B59,"yyyy-mm")</x:f>
        <x:v>2026-08</x:v>
      </x:c>
    </x:row>
    <x:row r="60" ht="26" customHeight="1">
      <x:c r="A60" s="2" t="str">
        <x:v>T059</x:v>
      </x:c>
      <x:c r="B60" s="10" t="d">
        <x:v>2026-08-15T00:00:00.000Z</x:v>
      </x:c>
      <x:c r="C60" s="2" t="str">
        <x:v>Бытовая покупка</x:v>
      </x:c>
      <x:c r="D60" s="2" t="str">
        <x:v>расход</x:v>
      </x:c>
      <x:c r="E60" s="7" t="n">
        <x:v>1380</x:v>
      </x:c>
      <x:c r="F60" s="2" t="str">
        <x:v>Прочее</x:v>
      </x:c>
      <x:c r="G60" s="2" t="str">
        <x:v>нет</x:v>
      </x:c>
      <x:c r="H60" s="2" t="str">
        <x:f>TEXT(B60,"yyyy-mm")</x:f>
        <x:v>2026-08</x:v>
      </x:c>
    </x:row>
    <x:row r="61" ht="26" customHeight="1">
      <x:c r="A61" s="2" t="str">
        <x:v>T060</x:v>
      </x:c>
      <x:c r="B61" s="10" t="d">
        <x:v>2026-08-22T00:00:00.000Z</x:v>
      </x:c>
      <x:c r="C61" s="2" t="str">
        <x:v>Поездка</x:v>
      </x:c>
      <x:c r="D61" s="2" t="str">
        <x:v>расход</x:v>
      </x:c>
      <x:c r="E61" s="7" t="n">
        <x:v>450</x:v>
      </x:c>
      <x:c r="F61" s="2" t="str">
        <x:v>Транспорт</x:v>
      </x:c>
      <x:c r="G61" s="2" t="str">
        <x:v>нет</x:v>
      </x:c>
      <x:c r="H61" s="2" t="str">
        <x:f>TEXT(B61,"yyyy-mm")</x:f>
        <x:v>2026-08</x:v>
      </x:c>
    </x:row>
    <x:row r="62" ht="26" customHeight="1">
      <x:c r="A62" s="2" t="str">
        <x:v>T061</x:v>
      </x:c>
      <x:c r="B62" s="10" t="d">
        <x:v>2026-08-01T00:00:00.000Z</x:v>
      </x:c>
      <x:c r="C62" s="2" t="str">
        <x:v>Покупка продуктов</x:v>
      </x:c>
      <x:c r="D62" s="2" t="str">
        <x:v>расход</x:v>
      </x:c>
      <x:c r="E62" s="7" t="n">
        <x:v>940</x:v>
      </x:c>
      <x:c r="F62" s="2" t="str">
        <x:v>Продукты</x:v>
      </x:c>
      <x:c r="G62" s="2" t="str">
        <x:v>нет</x:v>
      </x:c>
      <x:c r="H62" s="2" t="str">
        <x:f>TEXT(B62,"yyyy-mm")</x:f>
        <x:v>2026-08</x:v>
      </x:c>
    </x:row>
    <x:row r="63" ht="26" customHeight="1">
      <x:c r="A63" s="2" t="str">
        <x:v>T062</x:v>
      </x:c>
      <x:c r="B63" s="10" t="d">
        <x:v>2026-08-08T00:00:00.000Z</x:v>
      </x:c>
      <x:c r="C63" s="2" t="str">
        <x:v>Аптека</x:v>
      </x:c>
      <x:c r="D63" s="2" t="str">
        <x:v>расход</x:v>
      </x:c>
      <x:c r="E63" s="7" t="n">
        <x:v>1300</x:v>
      </x:c>
      <x:c r="F63" s="2" t="str">
        <x:v>Здоровье</x:v>
      </x:c>
      <x:c r="G63" s="2" t="str">
        <x:v>нет</x:v>
      </x:c>
      <x:c r="H63" s="2" t="str">
        <x:f>TEXT(B63,"yyyy-mm")</x:f>
        <x:v>2026-08</x:v>
      </x:c>
    </x:row>
    <x:row r="64" ht="26" customHeight="1">
      <x:c r="A64" s="2" t="str">
        <x:v>T063</x:v>
      </x:c>
      <x:c r="B64" s="10" t="d">
        <x:v>2026-08-15T00:00:00.000Z</x:v>
      </x:c>
      <x:c r="C64" s="2" t="str">
        <x:v>Покупка продуктов</x:v>
      </x:c>
      <x:c r="D64" s="2" t="str">
        <x:v>расход</x:v>
      </x:c>
      <x:c r="E64" s="7" t="n">
        <x:v>4550</x:v>
      </x:c>
      <x:c r="F64" s="2" t="str">
        <x:v>Продукты</x:v>
      </x:c>
      <x:c r="G64" s="2" t="str">
        <x:v>нет</x:v>
      </x:c>
      <x:c r="H64" s="2" t="str">
        <x:f>TEXT(B64,"yyyy-mm")</x:f>
        <x:v>2026-08</x:v>
      </x:c>
    </x:row>
    <x:row r="65" ht="26" customHeight="1">
      <x:c r="A65" s="2" t="str">
        <x:v>T064</x:v>
      </x:c>
      <x:c r="B65" s="10" t="d">
        <x:v>2026-08-22T00:00:00.000Z</x:v>
      </x:c>
      <x:c r="C65" s="2" t="str">
        <x:v>Бытовая покупка</x:v>
      </x:c>
      <x:c r="D65" s="2" t="str">
        <x:v>расход</x:v>
      </x:c>
      <x:c r="E65" s="7" t="n">
        <x:v>1880</x:v>
      </x:c>
      <x:c r="F65" s="2" t="str">
        <x:v>Прочее</x:v>
      </x:c>
      <x:c r="G65" s="2" t="str">
        <x:v>нет</x:v>
      </x:c>
      <x:c r="H65" s="2" t="str">
        <x:f>TEXT(B65,"yyyy-mm")</x:f>
        <x:v>2026-08</x:v>
      </x:c>
    </x:row>
    <x:row r="66" ht="26" customHeight="1">
      <x:c r="A66" s="2" t="str">
        <x:v>T065</x:v>
      </x:c>
      <x:c r="B66" s="10" t="d">
        <x:v>2026-08-01T00:00:00.000Z</x:v>
      </x:c>
      <x:c r="C66" s="2" t="str">
        <x:v>Книга или курс</x:v>
      </x:c>
      <x:c r="D66" s="2" t="str">
        <x:v>расход</x:v>
      </x:c>
      <x:c r="E66" s="7" t="n">
        <x:v>3290</x:v>
      </x:c>
      <x:c r="F66" s="2" t="str">
        <x:v>Обучение</x:v>
      </x:c>
      <x:c r="G66" s="2" t="str">
        <x:v>нет</x:v>
      </x:c>
      <x:c r="H66" s="2" t="str">
        <x:f>TEXT(B66,"yyyy-mm")</x:f>
        <x:v>2026-08</x:v>
      </x:c>
    </x:row>
    <x:row r="67" ht="26" customHeight="1">
      <x:c r="A67" s="2" t="str">
        <x:v>T066</x:v>
      </x:c>
      <x:c r="B67" s="10" t="d">
        <x:v>2026-08-08T00:00:00.000Z</x:v>
      </x:c>
      <x:c r="C67" s="2" t="str">
        <x:v>Аптека</x:v>
      </x:c>
      <x:c r="D67" s="2" t="str">
        <x:v>расход</x:v>
      </x:c>
      <x:c r="E67" s="7" t="n">
        <x:v>1040</x:v>
      </x:c>
      <x:c r="F67" s="2" t="str">
        <x:v>Здоровье</x:v>
      </x:c>
      <x:c r="G67" s="2" t="str">
        <x:v>нет</x:v>
      </x:c>
      <x:c r="H67" s="2" t="str">
        <x:f>TEXT(B67,"yyyy-mm")</x:f>
        <x:v>2026-08</x:v>
      </x:c>
    </x:row>
    <x:row r="68" ht="26" customHeight="1">
      <x:c r="A68" s="2" t="str">
        <x:v>T067</x:v>
      </x:c>
      <x:c r="B68" s="10" t="d">
        <x:v>2026-09-15T00:00:00.000Z</x:v>
      </x:c>
      <x:c r="C68" s="2" t="str">
        <x:v>Зарплата</x:v>
      </x:c>
      <x:c r="D68" s="2" t="str">
        <x:v>доход</x:v>
      </x:c>
      <x:c r="E68" s="7" t="n">
        <x:v>85000</x:v>
      </x:c>
      <x:c r="F68" s="2" t="str">
        <x:v>Зарплата</x:v>
      </x:c>
      <x:c r="G68" s="2" t="str">
        <x:v>да</x:v>
      </x:c>
      <x:c r="H68" s="2" t="str">
        <x:f>TEXT(B68,"yyyy-mm")</x:f>
        <x:v>2026-09</x:v>
      </x:c>
    </x:row>
    <x:row r="69" ht="26" customHeight="1">
      <x:c r="A69" s="2" t="str">
        <x:v>T068</x:v>
      </x:c>
      <x:c r="B69" s="10" t="d">
        <x:v>2026-09-22T00:00:00.000Z</x:v>
      </x:c>
      <x:c r="C69" s="2" t="str">
        <x:v>Аренда квартиры</x:v>
      </x:c>
      <x:c r="D69" s="2" t="str">
        <x:v>расход</x:v>
      </x:c>
      <x:c r="E69" s="7" t="n">
        <x:v>30000</x:v>
      </x:c>
      <x:c r="F69" s="2" t="str">
        <x:v>Жильё</x:v>
      </x:c>
      <x:c r="G69" s="2" t="str">
        <x:v>да</x:v>
      </x:c>
      <x:c r="H69" s="2" t="str">
        <x:f>TEXT(B69,"yyyy-mm")</x:f>
        <x:v>2026-09</x:v>
      </x:c>
    </x:row>
    <x:row r="70" ht="26" customHeight="1">
      <x:c r="A70" s="2" t="str">
        <x:v>T069</x:v>
      </x:c>
      <x:c r="B70" s="10" t="d">
        <x:v>2026-09-01T00:00:00.000Z</x:v>
      </x:c>
      <x:c r="C70" s="2" t="str">
        <x:v>Подписка</x:v>
      </x:c>
      <x:c r="D70" s="2" t="str">
        <x:v>расход</x:v>
      </x:c>
      <x:c r="E70" s="7" t="n">
        <x:v>499</x:v>
      </x:c>
      <x:c r="F70" s="2" t="str">
        <x:v>Подписки</x:v>
      </x:c>
      <x:c r="G70" s="2" t="str">
        <x:v>да</x:v>
      </x:c>
      <x:c r="H70" s="2" t="str">
        <x:f>TEXT(B70,"yyyy-mm")</x:f>
        <x:v>2026-09</x:v>
      </x:c>
    </x:row>
    <x:row r="71" ht="26" customHeight="1">
      <x:c r="A71" s="2" t="str">
        <x:v>T070</x:v>
      </x:c>
      <x:c r="B71" s="10" t="d">
        <x:v>2026-09-08T00:00:00.000Z</x:v>
      </x:c>
      <x:c r="C71" s="2" t="str">
        <x:v>На свой накопительный счёт</x:v>
      </x:c>
      <x:c r="D71" s="2" t="str">
        <x:v>перевод между своими счетами</x:v>
      </x:c>
      <x:c r="E71" s="7" t="n">
        <x:v>12000</x:v>
      </x:c>
      <x:c r="F71" s="2" t="str">
        <x:v>Перевод</x:v>
      </x:c>
      <x:c r="G71" s="2" t="str">
        <x:v>нет</x:v>
      </x:c>
      <x:c r="H71" s="2" t="str">
        <x:f>TEXT(B71,"yyyy-mm")</x:f>
        <x:v>2026-09</x:v>
      </x:c>
    </x:row>
    <x:row r="72" ht="26" customHeight="1">
      <x:c r="A72" s="2" t="str">
        <x:v>T071</x:v>
      </x:c>
      <x:c r="B72" s="10" t="d">
        <x:v>2026-09-15T00:00:00.000Z</x:v>
      </x:c>
      <x:c r="C72" s="2" t="str">
        <x:v>Возврат покупки</x:v>
      </x:c>
      <x:c r="D72" s="2" t="str">
        <x:v>возврат покупки</x:v>
      </x:c>
      <x:c r="E72" s="7" t="n">
        <x:v>1800</x:v>
      </x:c>
      <x:c r="F72" s="2" t="str">
        <x:v>Возврат</x:v>
      </x:c>
      <x:c r="G72" s="2" t="str">
        <x:v>нет</x:v>
      </x:c>
      <x:c r="H72" s="2" t="str">
        <x:f>TEXT(B72,"yyyy-mm")</x:f>
        <x:v>2026-09</x:v>
      </x:c>
    </x:row>
    <x:row r="73" ht="26" customHeight="1">
      <x:c r="A73" s="2" t="str">
        <x:v>T072</x:v>
      </x:c>
      <x:c r="B73" s="10" t="d">
        <x:v>2026-09-22T00:00:00.000Z</x:v>
      </x:c>
      <x:c r="C73" s="2" t="str">
        <x:v>Доставка ужина</x:v>
      </x:c>
      <x:c r="D73" s="2" t="str">
        <x:v>расход</x:v>
      </x:c>
      <x:c r="E73" s="7" t="n">
        <x:v>2030</x:v>
      </x:c>
      <x:c r="F73" s="2" t="str">
        <x:v>Доставка еды</x:v>
      </x:c>
      <x:c r="G73" s="2" t="str">
        <x:v>нет</x:v>
      </x:c>
      <x:c r="H73" s="2" t="str">
        <x:f>TEXT(B73,"yyyy-mm")</x:f>
        <x:v>2026-09</x:v>
      </x:c>
    </x:row>
    <x:row r="74" ht="26" customHeight="1">
      <x:c r="A74" s="2" t="str">
        <x:v>T073</x:v>
      </x:c>
      <x:c r="B74" s="10" t="d">
        <x:v>2026-09-01T00:00:00.000Z</x:v>
      </x:c>
      <x:c r="C74" s="2" t="str">
        <x:v>Бытовая покупка</x:v>
      </x:c>
      <x:c r="D74" s="2" t="str">
        <x:v>расход</x:v>
      </x:c>
      <x:c r="E74" s="7" t="n">
        <x:v>2550</x:v>
      </x:c>
      <x:c r="F74" s="2" t="str">
        <x:v>Прочее</x:v>
      </x:c>
      <x:c r="G74" s="2" t="str">
        <x:v>нет</x:v>
      </x:c>
      <x:c r="H74" s="2" t="str">
        <x:f>TEXT(B74,"yyyy-mm")</x:f>
        <x:v>2026-09</x:v>
      </x:c>
    </x:row>
    <x:row r="75" ht="26" customHeight="1">
      <x:c r="A75" s="2" t="str">
        <x:v>T074</x:v>
      </x:c>
      <x:c r="B75" s="10" t="d">
        <x:v>2026-09-08T00:00:00.000Z</x:v>
      </x:c>
      <x:c r="C75" s="2" t="str">
        <x:v>Доставка ужина</x:v>
      </x:c>
      <x:c r="D75" s="2" t="str">
        <x:v>расход</x:v>
      </x:c>
      <x:c r="E75" s="7" t="n">
        <x:v>2160</x:v>
      </x:c>
      <x:c r="F75" s="2" t="str">
        <x:v>Доставка еды</x:v>
      </x:c>
      <x:c r="G75" s="2" t="str">
        <x:v>нет</x:v>
      </x:c>
      <x:c r="H75" s="2" t="str">
        <x:f>TEXT(B75,"yyyy-mm")</x:f>
        <x:v>2026-09</x:v>
      </x:c>
    </x:row>
    <x:row r="76" ht="26" customHeight="1">
      <x:c r="A76" s="2" t="str">
        <x:v>T075</x:v>
      </x:c>
      <x:c r="B76" s="10" t="d">
        <x:v>2026-09-15T00:00:00.000Z</x:v>
      </x:c>
      <x:c r="C76" s="2" t="str">
        <x:v>Поездка</x:v>
      </x:c>
      <x:c r="D76" s="2" t="str">
        <x:v>расход</x:v>
      </x:c>
      <x:c r="E76" s="7" t="n">
        <x:v>540</x:v>
      </x:c>
      <x:c r="F76" s="2" t="str">
        <x:v>Транспорт</x:v>
      </x:c>
      <x:c r="G76" s="2" t="str">
        <x:v>нет</x:v>
      </x:c>
      <x:c r="H76" s="2" t="str">
        <x:f>TEXT(B76,"yyyy-mm")</x:f>
        <x:v>2026-09</x:v>
      </x:c>
    </x:row>
    <x:row r="77" ht="26" customHeight="1">
      <x:c r="A77" s="2" t="str">
        <x:v>T076</x:v>
      </x:c>
      <x:c r="B77" s="10" t="d">
        <x:v>2026-09-22T00:00:00.000Z</x:v>
      </x:c>
      <x:c r="C77" s="2" t="str">
        <x:v>Покупка продуктов</x:v>
      </x:c>
      <x:c r="D77" s="2" t="str">
        <x:v>расход</x:v>
      </x:c>
      <x:c r="E77" s="7" t="n">
        <x:v>4430</x:v>
      </x:c>
      <x:c r="F77" s="2" t="str">
        <x:v>Продукты</x:v>
      </x:c>
      <x:c r="G77" s="2" t="str">
        <x:v>нет</x:v>
      </x:c>
      <x:c r="H77" s="2" t="str">
        <x:f>TEXT(B77,"yyyy-mm")</x:f>
        <x:v>2026-09</x:v>
      </x:c>
    </x:row>
    <x:row r="78" ht="26" customHeight="1">
      <x:c r="A78" s="2" t="str">
        <x:v>T077</x:v>
      </x:c>
      <x:c r="B78" s="10" t="d">
        <x:v>2026-09-01T00:00:00.000Z</x:v>
      </x:c>
      <x:c r="C78" s="2" t="str">
        <x:v>Книга или курс</x:v>
      </x:c>
      <x:c r="D78" s="2" t="str">
        <x:v>расход</x:v>
      </x:c>
      <x:c r="E78" s="7" t="n">
        <x:v>2370</x:v>
      </x:c>
      <x:c r="F78" s="2" t="str">
        <x:v>Обучение</x:v>
      </x:c>
      <x:c r="G78" s="2" t="str">
        <x:v>нет</x:v>
      </x:c>
      <x:c r="H78" s="2" t="str">
        <x:f>TEXT(B78,"yyyy-mm")</x:f>
        <x:v>2026-09</x:v>
      </x:c>
    </x:row>
    <x:row r="79" ht="26" customHeight="1">
      <x:c r="A79" s="2" t="str">
        <x:v>T078</x:v>
      </x:c>
      <x:c r="B79" s="10" t="d">
        <x:v>2026-09-08T00:00:00.000Z</x:v>
      </x:c>
      <x:c r="C79" s="2" t="str">
        <x:v>Кафе</x:v>
      </x:c>
      <x:c r="D79" s="2" t="str">
        <x:v>расход</x:v>
      </x:c>
      <x:c r="E79" s="7" t="n">
        <x:v>1100</x:v>
      </x:c>
      <x:c r="F79" s="2" t="str">
        <x:v>Кафе</x:v>
      </x:c>
      <x:c r="G79" s="2" t="str">
        <x:v>нет</x:v>
      </x:c>
      <x:c r="H79" s="2" t="str">
        <x:f>TEXT(B79,"yyyy-mm")</x:f>
        <x:v>2026-09</x:v>
      </x:c>
    </x:row>
    <x:row r="80" ht="26" customHeight="1">
      <x:c r="A80" s="2" t="str">
        <x:v>T079</x:v>
      </x:c>
      <x:c r="B80" s="10" t="d">
        <x:v>2026-09-15T00:00:00.000Z</x:v>
      </x:c>
      <x:c r="C80" s="2" t="str">
        <x:v>Книга или курс</x:v>
      </x:c>
      <x:c r="D80" s="2" t="str">
        <x:v>расход</x:v>
      </x:c>
      <x:c r="E80" s="7" t="n">
        <x:v>2770</x:v>
      </x:c>
      <x:c r="F80" s="2" t="str">
        <x:v>Обучение</x:v>
      </x:c>
      <x:c r="G80" s="2" t="str">
        <x:v>нет</x:v>
      </x:c>
      <x:c r="H80" s="2" t="str">
        <x:f>TEXT(B80,"yyyy-mm")</x:f>
        <x:v>2026-09</x:v>
      </x:c>
    </x:row>
    <x:row r="81" ht="26" customHeight="1">
      <x:c r="A81" s="2" t="str">
        <x:v>T080</x:v>
      </x:c>
      <x:c r="B81" s="10" t="d">
        <x:v>2026-09-22T00:00:00.000Z</x:v>
      </x:c>
      <x:c r="C81" s="2" t="str">
        <x:v>Книга или курс</x:v>
      </x:c>
      <x:c r="D81" s="2" t="str">
        <x:v>расход</x:v>
      </x:c>
      <x:c r="E81" s="7" t="n">
        <x:v>2800</x:v>
      </x:c>
      <x:c r="F81" s="2" t="str">
        <x:v>Обучение</x:v>
      </x:c>
      <x:c r="G81" s="2" t="str">
        <x:v>нет</x:v>
      </x:c>
      <x:c r="H81" s="2" t="str">
        <x:f>TEXT(B81,"yyyy-mm")</x:f>
        <x:v>2026-09</x:v>
      </x:c>
    </x:row>
    <x:row r="82" ht="26" customHeight="1">
      <x:c r="A82" s="2" t="str">
        <x:v>T081</x:v>
      </x:c>
      <x:c r="B82" s="10" t="d">
        <x:v>2026-09-01T00:00:00.000Z</x:v>
      </x:c>
      <x:c r="C82" s="2" t="str">
        <x:v>Аптека</x:v>
      </x:c>
      <x:c r="D82" s="2" t="str">
        <x:v>расход</x:v>
      </x:c>
      <x:c r="E82" s="7" t="n">
        <x:v>1440</x:v>
      </x:c>
      <x:c r="F82" s="2" t="str">
        <x:v>Здоровье</x:v>
      </x:c>
      <x:c r="G82" s="2" t="str">
        <x:v>нет</x:v>
      </x:c>
      <x:c r="H82" s="2" t="str">
        <x:f>TEXT(B82,"yyyy-mm")</x:f>
        <x:v>2026-09</x:v>
      </x:c>
    </x:row>
    <x:row r="83" ht="26" customHeight="1">
      <x:c r="A83" s="2" t="str">
        <x:v>T082</x:v>
      </x:c>
      <x:c r="B83" s="10" t="d">
        <x:v>2026-09-08T00:00:00.000Z</x:v>
      </x:c>
      <x:c r="C83" s="2" t="str">
        <x:v>Доставка ужина</x:v>
      </x:c>
      <x:c r="D83" s="2" t="str">
        <x:v>расход</x:v>
      </x:c>
      <x:c r="E83" s="7" t="n">
        <x:v>1920</x:v>
      </x:c>
      <x:c r="F83" s="2" t="str">
        <x:v>Доставка еды</x:v>
      </x:c>
      <x:c r="G83" s="2" t="str">
        <x:v>нет</x:v>
      </x:c>
      <x:c r="H83" s="2" t="str">
        <x:f>TEXT(B83,"yyyy-mm")</x:f>
        <x:v>2026-09</x:v>
      </x:c>
    </x:row>
    <x:row r="84" ht="26" customHeight="1">
      <x:c r="A84" s="2" t="str">
        <x:v>T083</x:v>
      </x:c>
      <x:c r="B84" s="10" t="d">
        <x:v>2026-09-15T00:00:00.000Z</x:v>
      </x:c>
      <x:c r="C84" s="2" t="str">
        <x:v>Кафе</x:v>
      </x:c>
      <x:c r="D84" s="2" t="str">
        <x:v>расход</x:v>
      </x:c>
      <x:c r="E84" s="7" t="n">
        <x:v>1010</x:v>
      </x:c>
      <x:c r="F84" s="2" t="str">
        <x:v>Кафе</x:v>
      </x:c>
      <x:c r="G84" s="2" t="str">
        <x:v>нет</x:v>
      </x:c>
      <x:c r="H84" s="2" t="str">
        <x:f>TEXT(B84,"yyyy-mm")</x:f>
        <x:v>2026-09</x:v>
      </x:c>
    </x:row>
    <x:row r="85" ht="26" customHeight="1">
      <x:c r="A85" s="2" t="str">
        <x:v>T084</x:v>
      </x:c>
      <x:c r="B85" s="10" t="d">
        <x:v>2026-09-22T00:00:00.000Z</x:v>
      </x:c>
      <x:c r="C85" s="2" t="str">
        <x:v>Доставка ужина</x:v>
      </x:c>
      <x:c r="D85" s="2" t="str">
        <x:v>расход</x:v>
      </x:c>
      <x:c r="E85" s="7" t="n">
        <x:v>2300</x:v>
      </x:c>
      <x:c r="F85" s="2" t="str">
        <x:v>Доставка еды</x:v>
      </x:c>
      <x:c r="G85" s="2" t="str">
        <x:v>нет</x:v>
      </x:c>
      <x:c r="H85" s="2" t="str">
        <x:f>TEXT(B85,"yyyy-mm")</x:f>
        <x:v>2026-09</x:v>
      </x:c>
    </x:row>
    <x:row r="86" ht="26" customHeight="1">
      <x:c r="A86" s="2" t="str">
        <x:v>T085</x:v>
      </x:c>
      <x:c r="B86" s="10" t="d">
        <x:v>2026-09-01T00:00:00.000Z</x:v>
      </x:c>
      <x:c r="C86" s="2" t="str">
        <x:v>Покупка продуктов</x:v>
      </x:c>
      <x:c r="D86" s="2" t="str">
        <x:v>расход</x:v>
      </x:c>
      <x:c r="E86" s="7" t="n">
        <x:v>2210</x:v>
      </x:c>
      <x:c r="F86" s="2" t="str">
        <x:v>Продукты</x:v>
      </x:c>
      <x:c r="G86" s="2" t="str">
        <x:v>нет</x:v>
      </x:c>
      <x:c r="H86" s="2" t="str">
        <x:f>TEXT(B86,"yyyy-mm")</x:f>
        <x:v>2026-09</x:v>
      </x:c>
    </x:row>
    <x:row r="87" ht="26" customHeight="1">
      <x:c r="A87" s="2" t="str">
        <x:v>T086</x:v>
      </x:c>
      <x:c r="B87" s="10" t="d">
        <x:v>2026-09-08T00:00:00.000Z</x:v>
      </x:c>
      <x:c r="C87" s="2" t="str">
        <x:v>Бытовая покупка</x:v>
      </x:c>
      <x:c r="D87" s="2" t="str">
        <x:v>расход</x:v>
      </x:c>
      <x:c r="E87" s="7" t="n">
        <x:v>2640</x:v>
      </x:c>
      <x:c r="F87" s="2" t="str">
        <x:v>Прочее</x:v>
      </x:c>
      <x:c r="G87" s="2" t="str">
        <x:v>нет</x:v>
      </x:c>
      <x:c r="H87" s="2" t="str">
        <x:f>TEXT(B87,"yyyy-mm")</x:f>
        <x:v>2026-09</x:v>
      </x:c>
    </x:row>
    <x:row r="88" ht="26" customHeight="1">
      <x:c r="A88" s="2" t="str">
        <x:v>T087</x:v>
      </x:c>
      <x:c r="B88" s="10" t="d">
        <x:v>2026-09-15T00:00:00.000Z</x:v>
      </x:c>
      <x:c r="C88" s="2" t="str">
        <x:v>Доставка ужина</x:v>
      </x:c>
      <x:c r="D88" s="2" t="str">
        <x:v>расход</x:v>
      </x:c>
      <x:c r="E88" s="7" t="n">
        <x:v>1940</x:v>
      </x:c>
      <x:c r="F88" s="2" t="str">
        <x:v>Доставка еды</x:v>
      </x:c>
      <x:c r="G88" s="2" t="str">
        <x:v>нет</x:v>
      </x:c>
      <x:c r="H88" s="2" t="str">
        <x:f>TEXT(B88,"yyyy-mm")</x:f>
        <x:v>2026-09</x:v>
      </x:c>
    </x:row>
    <x:row r="89" ht="26" customHeight="1">
      <x:c r="A89" s="2" t="str">
        <x:v>T088</x:v>
      </x:c>
      <x:c r="B89" s="10" t="d">
        <x:v>2026-09-22T00:00:00.000Z</x:v>
      </x:c>
      <x:c r="C89" s="2" t="str">
        <x:v>Покупка продуктов</x:v>
      </x:c>
      <x:c r="D89" s="2" t="str">
        <x:v>расход</x:v>
      </x:c>
      <x:c r="E89" s="7" t="n">
        <x:v>4280</x:v>
      </x:c>
      <x:c r="F89" s="2" t="str">
        <x:v>Продукты</x:v>
      </x:c>
      <x:c r="G89" s="2" t="str">
        <x:v>нет</x:v>
      </x:c>
      <x:c r="H89" s="2" t="str">
        <x:f>TEXT(B89,"yyyy-mm")</x:f>
        <x:v>2026-09</x:v>
      </x:c>
    </x:row>
    <x:row r="90" ht="26" customHeight="1">
      <x:c r="A90" s="2" t="str">
        <x:v>T089</x:v>
      </x:c>
      <x:c r="B90" s="10" t="d">
        <x:v>2026-09-01T00:00:00.000Z</x:v>
      </x:c>
      <x:c r="C90" s="2" t="str">
        <x:v>Покупка продуктов</x:v>
      </x:c>
      <x:c r="D90" s="2" t="str">
        <x:v>расход</x:v>
      </x:c>
      <x:c r="E90" s="7" t="n">
        <x:v>2780</x:v>
      </x:c>
      <x:c r="F90" s="2" t="str">
        <x:v>Продукты</x:v>
      </x:c>
      <x:c r="G90" s="2" t="str">
        <x:v>нет</x:v>
      </x:c>
      <x:c r="H90" s="2" t="str">
        <x:f>TEXT(B90,"yyyy-mm")</x:f>
        <x:v>2026-09</x:v>
      </x:c>
    </x:row>
    <x:row r="91" ht="26" customHeight="1">
      <x:c r="A91" s="2" t="str">
        <x:v>T090</x:v>
      </x:c>
      <x:c r="B91" s="10" t="d">
        <x:v>2026-09-08T00:00:00.000Z</x:v>
      </x:c>
      <x:c r="C91" s="2" t="str">
        <x:v>Аптека</x:v>
      </x:c>
      <x:c r="D91" s="2" t="str">
        <x:v>расход</x:v>
      </x:c>
      <x:c r="E91" s="7" t="n">
        <x:v>2250</x:v>
      </x:c>
      <x:c r="F91" s="2" t="str">
        <x:v>Здоровье</x:v>
      </x:c>
      <x:c r="G91" s="2" t="str">
        <x:v>нет</x:v>
      </x:c>
      <x:c r="H91" s="2" t="str">
        <x:f>TEXT(B91,"yyyy-mm")</x:f>
        <x:v>2026-09</x:v>
      </x:c>
    </x:row>
    <x:row r="92" ht="26" customHeight="1">
      <x:c r="A92" s="2" t="str">
        <x:v>T091</x:v>
      </x:c>
      <x:c r="B92" s="10" t="d">
        <x:v>2026-09-15T00:00:00.000Z</x:v>
      </x:c>
      <x:c r="C92" s="2" t="str">
        <x:v>Аптека</x:v>
      </x:c>
      <x:c r="D92" s="2" t="str">
        <x:v>расход</x:v>
      </x:c>
      <x:c r="E92" s="7" t="n">
        <x:v>2280</x:v>
      </x:c>
      <x:c r="F92" s="2" t="str">
        <x:v>Здоровье</x:v>
      </x:c>
      <x:c r="G92" s="2" t="str">
        <x:v>нет</x:v>
      </x:c>
      <x:c r="H92" s="2" t="str">
        <x:f>TEXT(B92,"yyyy-mm")</x:f>
        <x:v>2026-09</x:v>
      </x:c>
    </x:row>
    <x:row r="93" ht="26" customHeight="1">
      <x:c r="A93" s="2" t="str">
        <x:v>T092</x:v>
      </x:c>
      <x:c r="B93" s="10" t="d">
        <x:v>2026-09-22T00:00:00.000Z</x:v>
      </x:c>
      <x:c r="C93" s="2" t="str">
        <x:v>Покупка продуктов</x:v>
      </x:c>
      <x:c r="D93" s="2" t="str">
        <x:v>расход</x:v>
      </x:c>
      <x:c r="E93" s="7" t="n">
        <x:v>2000</x:v>
      </x:c>
      <x:c r="F93" s="2" t="str">
        <x:v>Продукты</x:v>
      </x:c>
      <x:c r="G93" s="2" t="str">
        <x:v>нет</x:v>
      </x:c>
      <x:c r="H93" s="2" t="str">
        <x:f>TEXT(B93,"yyyy-mm")</x:f>
        <x:v>2026-09</x:v>
      </x:c>
    </x:row>
    <x:row r="94" ht="26" customHeight="1">
      <x:c r="A94" s="2" t="str">
        <x:v>T093</x:v>
      </x:c>
      <x:c r="B94" s="10" t="d">
        <x:v>2026-09-01T00:00:00.000Z</x:v>
      </x:c>
      <x:c r="C94" s="2" t="str">
        <x:v>Доставка ужина</x:v>
      </x:c>
      <x:c r="D94" s="2" t="str">
        <x:v>расход</x:v>
      </x:c>
      <x:c r="E94" s="7" t="n">
        <x:v>1050</x:v>
      </x:c>
      <x:c r="F94" s="2" t="str">
        <x:v>Доставка еды</x:v>
      </x:c>
      <x:c r="G94" s="2" t="str">
        <x:v>нет</x:v>
      </x:c>
      <x:c r="H94" s="2" t="str">
        <x:f>TEXT(B94,"yyyy-mm")</x:f>
        <x:v>2026-09</x:v>
      </x:c>
    </x:row>
    <x:row r="95" ht="26" customHeight="1">
      <x:c r="A95" s="2" t="str">
        <x:v>T094</x:v>
      </x:c>
      <x:c r="B95" s="10" t="d">
        <x:v>2026-09-08T00:00:00.000Z</x:v>
      </x:c>
      <x:c r="C95" s="2" t="str">
        <x:v>Аптека</x:v>
      </x:c>
      <x:c r="D95" s="2" t="str">
        <x:v>расход</x:v>
      </x:c>
      <x:c r="E95" s="7" t="n">
        <x:v>310</x:v>
      </x:c>
      <x:c r="F95" s="2" t="str">
        <x:v>Здоровье</x:v>
      </x:c>
      <x:c r="G95" s="2" t="str">
        <x:v>нет</x:v>
      </x:c>
      <x:c r="H95" s="2" t="str">
        <x:f>TEXT(B95,"yyyy-mm")</x:f>
        <x:v>2026-09</x:v>
      </x:c>
    </x:row>
    <x:row r="96" ht="26" customHeight="1">
      <x:c r="A96" s="2" t="str">
        <x:v>T095</x:v>
      </x:c>
      <x:c r="B96" s="10" t="d">
        <x:v>2026-09-15T00:00:00.000Z</x:v>
      </x:c>
      <x:c r="C96" s="2" t="str">
        <x:v>Доставка ужина</x:v>
      </x:c>
      <x:c r="D96" s="2" t="str">
        <x:v>расход</x:v>
      </x:c>
      <x:c r="E96" s="7" t="n">
        <x:v>1470</x:v>
      </x:c>
      <x:c r="F96" s="2" t="str">
        <x:v>Доставка еды</x:v>
      </x:c>
      <x:c r="G96" s="2" t="str">
        <x:v>нет</x:v>
      </x:c>
      <x:c r="H96" s="2" t="str">
        <x:f>TEXT(B96,"yyyy-mm")</x:f>
        <x:v>2026-09</x:v>
      </x:c>
    </x:row>
    <x:row r="97" ht="26" customHeight="1">
      <x:c r="A97" s="2" t="str">
        <x:v>T096</x:v>
      </x:c>
      <x:c r="B97" s="10" t="d">
        <x:v>2026-09-22T00:00:00.000Z</x:v>
      </x:c>
      <x:c r="C97" s="2" t="str">
        <x:v>Доставка ужина</x:v>
      </x:c>
      <x:c r="D97" s="2" t="str">
        <x:v>расход</x:v>
      </x:c>
      <x:c r="E97" s="7" t="n">
        <x:v>2360</x:v>
      </x:c>
      <x:c r="F97" s="2" t="str">
        <x:v>Доставка еды</x:v>
      </x:c>
      <x:c r="G97" s="2" t="str">
        <x:v>нет</x:v>
      </x:c>
      <x:c r="H97" s="2" t="str">
        <x:f>TEXT(B97,"yyyy-mm")</x:f>
        <x:v>2026-09</x:v>
      </x:c>
    </x:row>
    <x:row r="98" ht="26" customHeight="1">
      <x:c r="A98" s="2" t="str">
        <x:v>T097</x:v>
      </x:c>
      <x:c r="B98" s="10" t="d">
        <x:v>2026-09-01T00:00:00.000Z</x:v>
      </x:c>
      <x:c r="C98" s="2" t="str">
        <x:v>Доставка ужина</x:v>
      </x:c>
      <x:c r="D98" s="2" t="str">
        <x:v>расход</x:v>
      </x:c>
      <x:c r="E98" s="7" t="n">
        <x:v>1690</x:v>
      </x:c>
      <x:c r="F98" s="2" t="str">
        <x:v>Доставка еды</x:v>
      </x:c>
      <x:c r="G98" s="2" t="str">
        <x:v>нет</x:v>
      </x:c>
      <x:c r="H98" s="2" t="str">
        <x:f>TEXT(B98,"yyyy-mm")</x:f>
        <x:v>2026-09</x:v>
      </x:c>
    </x:row>
    <x:row r="99" ht="26" customHeight="1">
      <x:c r="A99" s="2" t="str">
        <x:v>T098</x:v>
      </x:c>
      <x:c r="B99" s="10" t="d">
        <x:v>2026-09-08T00:00:00.000Z</x:v>
      </x:c>
      <x:c r="C99" s="2" t="str">
        <x:v>Бытовая покупка</x:v>
      </x:c>
      <x:c r="D99" s="2" t="str">
        <x:v>расход</x:v>
      </x:c>
      <x:c r="E99" s="7" t="n">
        <x:v>2290</x:v>
      </x:c>
      <x:c r="F99" s="2" t="str">
        <x:v>Прочее</x:v>
      </x:c>
      <x:c r="G99" s="2" t="str">
        <x:v>нет</x:v>
      </x:c>
      <x:c r="H99" s="2" t="str">
        <x:f>TEXT(B99,"yyyy-mm")</x:f>
        <x:v>2026-09</x:v>
      </x:c>
    </x:row>
    <x:row r="100" ht="26" customHeight="1">
      <x:c r="A100" s="2" t="str">
        <x:v>T099</x:v>
      </x:c>
      <x:c r="B100" s="10" t="d">
        <x:v>2026-09-15T00:00:00.000Z</x:v>
      </x:c>
      <x:c r="C100" s="2" t="str">
        <x:v>Покупка продуктов</x:v>
      </x:c>
      <x:c r="D100" s="2" t="str">
        <x:v>расход</x:v>
      </x:c>
      <x:c r="E100" s="7" t="n">
        <x:v>2950</x:v>
      </x:c>
      <x:c r="F100" s="2" t="str">
        <x:v>Продукты</x:v>
      </x:c>
      <x:c r="G100" s="2" t="str">
        <x:v>нет</x:v>
      </x:c>
      <x:c r="H100" s="2" t="str">
        <x:f>TEXT(B100,"yyyy-mm")</x:f>
        <x:v>2026-09</x:v>
      </x:c>
    </x:row>
    <x:row r="101" ht="26" customHeight="1">
      <x:c r="A101" s="2" t="str">
        <x:v>T100</x:v>
      </x:c>
      <x:c r="B101" s="10" t="d">
        <x:v>2026-09-22T00:00:00.000Z</x:v>
      </x:c>
      <x:c r="C101" s="2" t="str">
        <x:v>Кафе</x:v>
      </x:c>
      <x:c r="D101" s="2" t="str">
        <x:v>расход</x:v>
      </x:c>
      <x:c r="E101" s="7" t="n">
        <x:v>580</x:v>
      </x:c>
      <x:c r="F101" s="2" t="str">
        <x:v>Кафе</x:v>
      </x:c>
      <x:c r="G101" s="2" t="str">
        <x:v>нет</x:v>
      </x:c>
      <x:c r="H101" s="2" t="str">
        <x:f>TEXT(B101,"yyyy-mm")</x:f>
        <x:v>2026-09</x:v>
      </x:c>
    </x:row>
    <x:row r="102" ht="26" customHeight="1">
      <x:c r="A102" s="2" t="str">
        <x:v>T101</x:v>
      </x:c>
      <x:c r="B102" s="10" t="d">
        <x:v>2026-09-01T00:00:00.000Z</x:v>
      </x:c>
      <x:c r="C102" s="2" t="str">
        <x:v>Бытовая покупка</x:v>
      </x:c>
      <x:c r="D102" s="2" t="str">
        <x:v>расход</x:v>
      </x:c>
      <x:c r="E102" s="7" t="n">
        <x:v>1570</x:v>
      </x:c>
      <x:c r="F102" s="2" t="str">
        <x:v>Прочее</x:v>
      </x:c>
      <x:c r="G102" s="2" t="str">
        <x:v>нет</x:v>
      </x:c>
      <x:c r="H102" s="2" t="str">
        <x:f>TEXT(B102,"yyyy-mm")</x:f>
        <x:v>2026-09</x:v>
      </x:c>
    </x:row>
    <x:row r="103" ht="26" customHeight="1">
      <x:c r="A103" s="2" t="str">
        <x:v>T102</x:v>
      </x:c>
      <x:c r="B103" s="10" t="d">
        <x:v>2026-09-08T00:00:00.000Z</x:v>
      </x:c>
      <x:c r="C103" s="2" t="str">
        <x:v>Кафе</x:v>
      </x:c>
      <x:c r="D103" s="2" t="str">
        <x:v>расход</x:v>
      </x:c>
      <x:c r="E103" s="7" t="n">
        <x:v>1520</x:v>
      </x:c>
      <x:c r="F103" s="2" t="str">
        <x:v>Кафе</x:v>
      </x:c>
      <x:c r="G103" s="2" t="str">
        <x:v>нет</x:v>
      </x:c>
      <x:c r="H103" s="2" t="str">
        <x:f>TEXT(B103,"yyyy-mm")</x:f>
        <x:v>2026-09</x:v>
      </x:c>
    </x:row>
    <x:row r="104" ht="26" customHeight="1">
      <x:c r="A104" s="2" t="str">
        <x:v>T103</x:v>
      </x:c>
      <x:c r="B104" s="10" t="d">
        <x:v>2026-09-15T00:00:00.000Z</x:v>
      </x:c>
      <x:c r="C104" s="2" t="str">
        <x:v>Аптека</x:v>
      </x:c>
      <x:c r="D104" s="2" t="str">
        <x:v>расход</x:v>
      </x:c>
      <x:c r="E104" s="7" t="n">
        <x:v>2720</x:v>
      </x:c>
      <x:c r="F104" s="2" t="str">
        <x:v>Здоровье</x:v>
      </x:c>
      <x:c r="G104" s="2" t="str">
        <x:v>нет</x:v>
      </x:c>
      <x:c r="H104" s="2" t="str">
        <x:f>TEXT(B104,"yyyy-mm")</x:f>
        <x:v>2026-09</x:v>
      </x:c>
    </x:row>
    <x:row r="105" ht="26" customHeight="1">
      <x:c r="A105" s="2" t="str">
        <x:v>T104</x:v>
      </x:c>
      <x:c r="B105" s="10" t="d">
        <x:v>2026-09-22T00:00:00.000Z</x:v>
      </x:c>
      <x:c r="C105" s="2" t="str">
        <x:v>Бытовая покупка</x:v>
      </x:c>
      <x:c r="D105" s="2" t="str">
        <x:v>расход</x:v>
      </x:c>
      <x:c r="E105" s="7" t="n">
        <x:v>2470</x:v>
      </x:c>
      <x:c r="F105" s="2" t="str">
        <x:v>Прочее</x:v>
      </x:c>
      <x:c r="G105" s="2" t="str">
        <x:v>нет</x:v>
      </x:c>
      <x:c r="H105" s="2" t="str">
        <x:f>TEXT(B105,"yyyy-mm")</x:f>
        <x:v>2026-09</x:v>
      </x:c>
    </x:row>
    <x:row r="106" ht="26" customHeight="1">
      <x:c r="A106" s="2" t="str">
        <x:v>T105</x:v>
      </x:c>
      <x:c r="B106" s="10" t="d">
        <x:v>2026-09-01T00:00:00.000Z</x:v>
      </x:c>
      <x:c r="C106" s="2" t="str">
        <x:v>Аптека</x:v>
      </x:c>
      <x:c r="D106" s="2" t="str">
        <x:v>расход</x:v>
      </x:c>
      <x:c r="E106" s="7" t="n">
        <x:v>970</x:v>
      </x:c>
      <x:c r="F106" s="2" t="str">
        <x:v>Здоровье</x:v>
      </x:c>
      <x:c r="G106" s="2" t="str">
        <x:v>нет</x:v>
      </x:c>
      <x:c r="H106" s="2" t="str">
        <x:f>TEXT(B106,"yyyy-mm")</x:f>
        <x:v>2026-09</x:v>
      </x:c>
    </x:row>
    <x:row r="107" ht="26" customHeight="1">
      <x:c r="A107" s="2" t="str">
        <x:v>T106</x:v>
      </x:c>
      <x:c r="B107" s="10" t="d">
        <x:v>2026-09-08T00:00:00.000Z</x:v>
      </x:c>
      <x:c r="C107" s="2" t="str">
        <x:v>Покупка продуктов</x:v>
      </x:c>
      <x:c r="D107" s="2" t="str">
        <x:v>расход</x:v>
      </x:c>
      <x:c r="E107" s="7" t="n">
        <x:v>1840</x:v>
      </x:c>
      <x:c r="F107" s="2" t="str">
        <x:v>Продукты</x:v>
      </x:c>
      <x:c r="G107" s="2" t="str">
        <x:v>нет</x:v>
      </x:c>
      <x:c r="H107" s="2" t="str">
        <x:f>TEXT(B107,"yyyy-mm")</x:f>
        <x:v>2026-09</x:v>
      </x:c>
    </x:row>
    <x:row r="108" ht="26" customHeight="1">
      <x:c r="A108" s="2" t="str">
        <x:v>T107</x:v>
      </x:c>
      <x:c r="B108" s="10" t="d">
        <x:v>2026-09-15T00:00:00.000Z</x:v>
      </x:c>
      <x:c r="C108" s="2" t="str">
        <x:v>Книга или курс</x:v>
      </x:c>
      <x:c r="D108" s="2" t="str">
        <x:v>расход</x:v>
      </x:c>
      <x:c r="E108" s="7" t="n">
        <x:v>800</x:v>
      </x:c>
      <x:c r="F108" s="2" t="str">
        <x:v>Обучение</x:v>
      </x:c>
      <x:c r="G108" s="2" t="str">
        <x:v>нет</x:v>
      </x:c>
      <x:c r="H108" s="2" t="str">
        <x:f>TEXT(B108,"yyyy-mm")</x:f>
        <x:v>2026-09</x:v>
      </x:c>
    </x:row>
    <x:row r="109" ht="26" customHeight="1">
      <x:c r="A109" s="2" t="str">
        <x:v>T108</x:v>
      </x:c>
      <x:c r="B109" s="10" t="d">
        <x:v>2026-09-22T00:00:00.000Z</x:v>
      </x:c>
      <x:c r="C109" s="2" t="str">
        <x:v>Поездка</x:v>
      </x:c>
      <x:c r="D109" s="2" t="str">
        <x:v>расход</x:v>
      </x:c>
      <x:c r="E109" s="7" t="n">
        <x:v>450</x:v>
      </x:c>
      <x:c r="F109" s="2" t="str">
        <x:v>Транспорт</x:v>
      </x:c>
      <x:c r="G109" s="2" t="str">
        <x:v>нет</x:v>
      </x:c>
      <x:c r="H109" s="2" t="str">
        <x:f>TEXT(B109,"yyyy-mm")</x:f>
        <x:v>2026-09</x:v>
      </x:c>
    </x:row>
    <x:row r="110" ht="26" customHeight="1">
      <x:c r="A110" s="2" t="str">
        <x:v>T109</x:v>
      </x:c>
      <x:c r="B110" s="10" t="d">
        <x:v>2026-09-01T00:00:00.000Z</x:v>
      </x:c>
      <x:c r="C110" s="2" t="str">
        <x:v>Бытовая покупка</x:v>
      </x:c>
      <x:c r="D110" s="2" t="str">
        <x:v>расход</x:v>
      </x:c>
      <x:c r="E110" s="7" t="n">
        <x:v>2340</x:v>
      </x:c>
      <x:c r="F110" s="2" t="str">
        <x:v>Прочее</x:v>
      </x:c>
      <x:c r="G110" s="2" t="str">
        <x:v>нет</x:v>
      </x:c>
      <x:c r="H110" s="2" t="str">
        <x:f>TEXT(B110,"yyyy-mm")</x:f>
        <x:v>2026-09</x:v>
      </x:c>
    </x:row>
    <x:row r="111" ht="26" customHeight="1">
      <x:c r="A111" s="2" t="str">
        <x:v>T110</x:v>
      </x:c>
      <x:c r="B111" s="10" t="d">
        <x:v>2026-09-08T00:00:00.000Z</x:v>
      </x:c>
      <x:c r="C111" s="2" t="str">
        <x:v>Кафе</x:v>
      </x:c>
      <x:c r="D111" s="2" t="str">
        <x:v>расход</x:v>
      </x:c>
      <x:c r="E111" s="7" t="n">
        <x:v>1360</x:v>
      </x:c>
      <x:c r="F111" s="2" t="str">
        <x:v>Кафе</x:v>
      </x:c>
      <x:c r="G111" s="2" t="str">
        <x:v>нет</x:v>
      </x:c>
      <x:c r="H111" s="2" t="str">
        <x:f>TEXT(B111,"yyyy-mm")</x:f>
        <x:v>2026-09</x:v>
      </x:c>
    </x:row>
    <x:row r="112" ht="26" customHeight="1">
      <x:c r="A112" s="2" t="str">
        <x:v>T111</x:v>
      </x:c>
      <x:c r="B112" s="10" t="d">
        <x:v>2026-09-15T00:00:00.000Z</x:v>
      </x:c>
      <x:c r="C112" s="2" t="str">
        <x:v>Бытовая покупка</x:v>
      </x:c>
      <x:c r="D112" s="2" t="str">
        <x:v>расход</x:v>
      </x:c>
      <x:c r="E112" s="7" t="n">
        <x:v>1640</x:v>
      </x:c>
      <x:c r="F112" s="2" t="str">
        <x:v>Прочее</x:v>
      </x:c>
      <x:c r="G112" s="2" t="str">
        <x:v>нет</x:v>
      </x:c>
      <x:c r="H112" s="2" t="str">
        <x:f>TEXT(B112,"yyyy-mm")</x:f>
        <x:v>2026-09</x:v>
      </x:c>
    </x:row>
    <x:row r="113" ht="26" customHeight="1">
      <x:c r="A113" s="2" t="str">
        <x:v>T112</x:v>
      </x:c>
      <x:c r="B113" s="10" t="d">
        <x:v>2026-09-22T00:00:00.000Z</x:v>
      </x:c>
      <x:c r="C113" s="2" t="str">
        <x:v>Поездка</x:v>
      </x:c>
      <x:c r="D113" s="2" t="str">
        <x:v>расход</x:v>
      </x:c>
      <x:c r="E113" s="7" t="n">
        <x:v>240</x:v>
      </x:c>
      <x:c r="F113" s="2" t="str">
        <x:v>Транспорт</x:v>
      </x:c>
      <x:c r="G113" s="2" t="str">
        <x:v>нет</x:v>
      </x:c>
      <x:c r="H113" s="2" t="str">
        <x:f>TEXT(B113,"yyyy-mm")</x:f>
        <x:v>2026-09</x:v>
      </x:c>
    </x:row>
    <x:row r="114" ht="26" customHeight="1">
      <x:c r="A114" s="2" t="str">
        <x:v>T113</x:v>
      </x:c>
      <x:c r="B114" s="10" t="d">
        <x:v>2026-09-01T00:00:00.000Z</x:v>
      </x:c>
      <x:c r="C114" s="2" t="str">
        <x:v>Аптека</x:v>
      </x:c>
      <x:c r="D114" s="2" t="str">
        <x:v>расход</x:v>
      </x:c>
      <x:c r="E114" s="7" t="n">
        <x:v>2060</x:v>
      </x:c>
      <x:c r="F114" s="2" t="str">
        <x:v>Здоровье</x:v>
      </x:c>
      <x:c r="G114" s="2" t="str">
        <x:v>нет</x:v>
      </x:c>
      <x:c r="H114" s="2" t="str">
        <x:f>TEXT(B114,"yyyy-mm")</x:f>
        <x:v>2026-09</x:v>
      </x:c>
    </x:row>
    <x:row r="115" ht="26" customHeight="1">
      <x:c r="A115" s="2" t="str">
        <x:v>T114</x:v>
      </x:c>
      <x:c r="B115" s="10" t="d">
        <x:v>2026-09-08T00:00:00.000Z</x:v>
      </x:c>
      <x:c r="C115" s="2" t="str">
        <x:v>Книга или курс</x:v>
      </x:c>
      <x:c r="D115" s="2" t="str">
        <x:v>расход</x:v>
      </x:c>
      <x:c r="E115" s="7" t="n">
        <x:v>2700</x:v>
      </x:c>
      <x:c r="F115" s="2" t="str">
        <x:v>Обучение</x:v>
      </x:c>
      <x:c r="G115" s="2" t="str">
        <x:v>нет</x:v>
      </x:c>
      <x:c r="H115" s="2" t="str">
        <x:f>TEXT(B115,"yyyy-mm")</x:f>
        <x:v>2026-09</x:v>
      </x:c>
    </x:row>
    <x:row r="116" ht="26" customHeight="1">
      <x:c r="A116" s="2" t="str">
        <x:v>T115</x:v>
      </x:c>
      <x:c r="B116" s="10" t="d">
        <x:v>2026-09-15T00:00:00.000Z</x:v>
      </x:c>
      <x:c r="C116" s="2" t="str">
        <x:v>Покупка продуктов</x:v>
      </x:c>
      <x:c r="D116" s="2" t="str">
        <x:v>расход</x:v>
      </x:c>
      <x:c r="E116" s="7" t="n">
        <x:v>1660</x:v>
      </x:c>
      <x:c r="F116" s="2" t="str">
        <x:v>Продукты</x:v>
      </x:c>
      <x:c r="G116" s="2" t="str">
        <x:v>нет</x:v>
      </x:c>
      <x:c r="H116" s="2" t="str">
        <x:f>TEXT(B116,"yyyy-mm")</x:f>
        <x:v>2026-09</x:v>
      </x:c>
    </x:row>
    <x:row r="117" ht="26" customHeight="1">
      <x:c r="A117" s="2" t="str">
        <x:v>T116</x:v>
      </x:c>
      <x:c r="B117" s="10" t="d">
        <x:v>2026-09-22T00:00:00.000Z</x:v>
      </x:c>
      <x:c r="C117" s="2" t="str">
        <x:v>Аптека</x:v>
      </x:c>
      <x:c r="D117" s="2" t="str">
        <x:v>расход</x:v>
      </x:c>
      <x:c r="E117" s="7" t="n">
        <x:v>1880</x:v>
      </x:c>
      <x:c r="F117" s="2" t="str">
        <x:v>Здоровье</x:v>
      </x:c>
      <x:c r="G117" s="2" t="str">
        <x:v>нет</x:v>
      </x:c>
      <x:c r="H117" s="2" t="str">
        <x:f>TEXT(B117,"yyyy-mm")</x:f>
        <x:v>2026-09</x:v>
      </x:c>
    </x:row>
    <x:row r="118" ht="26" customHeight="1">
      <x:c r="A118" s="2" t="str">
        <x:v>T117</x:v>
      </x:c>
      <x:c r="B118" s="10" t="d">
        <x:v>2026-09-01T00:00:00.000Z</x:v>
      </x:c>
      <x:c r="C118" s="2" t="str">
        <x:v>Покупка продуктов</x:v>
      </x:c>
      <x:c r="D118" s="2" t="str">
        <x:v>расход</x:v>
      </x:c>
      <x:c r="E118" s="7" t="n">
        <x:v>1610</x:v>
      </x:c>
      <x:c r="F118" s="2" t="str">
        <x:v>Продукты</x:v>
      </x:c>
      <x:c r="G118" s="2" t="str">
        <x:v>нет</x:v>
      </x:c>
      <x:c r="H118" s="2" t="str">
        <x:f>TEXT(B118,"yyyy-mm")</x:f>
        <x:v>2026-09</x:v>
      </x:c>
    </x:row>
    <x:row r="119" ht="26" customHeight="1">
      <x:c r="A119" s="2" t="str">
        <x:v>T118</x:v>
      </x:c>
      <x:c r="B119" s="10" t="d">
        <x:v>2026-09-08T00:00:00.000Z</x:v>
      </x:c>
      <x:c r="C119" s="2" t="str">
        <x:v>Кафе</x:v>
      </x:c>
      <x:c r="D119" s="2" t="str">
        <x:v>расход</x:v>
      </x:c>
      <x:c r="E119" s="7" t="n">
        <x:v>2110</x:v>
      </x:c>
      <x:c r="F119" s="2" t="str">
        <x:v>Кафе</x:v>
      </x:c>
      <x:c r="G119" s="2" t="str">
        <x:v>нет</x:v>
      </x:c>
      <x:c r="H119" s="2" t="str">
        <x:f>TEXT(B119,"yyyy-mm")</x:f>
        <x:v>2026-09</x:v>
      </x:c>
    </x:row>
    <x:row r="120" ht="26" customHeight="1">
      <x:c r="A120" s="2" t="str">
        <x:v>T119</x:v>
      </x:c>
      <x:c r="B120" s="10" t="d">
        <x:v>2026-09-15T00:00:00.000Z</x:v>
      </x:c>
      <x:c r="C120" s="2" t="str">
        <x:v>Доставка ужина</x:v>
      </x:c>
      <x:c r="D120" s="2" t="str">
        <x:v>расход</x:v>
      </x:c>
      <x:c r="E120" s="7" t="n">
        <x:v>1100</x:v>
      </x:c>
      <x:c r="F120" s="2" t="str">
        <x:v>Доставка еды</x:v>
      </x:c>
      <x:c r="G120" s="2" t="str">
        <x:v>нет</x:v>
      </x:c>
      <x:c r="H120" s="2" t="str">
        <x:f>TEXT(B120,"yyyy-mm")</x:f>
        <x:v>2026-09</x:v>
      </x:c>
    </x:row>
    <x:row r="121" ht="26" customHeight="1">
      <x:c r="A121" s="2" t="str">
        <x:v>T120</x:v>
      </x:c>
      <x:c r="B121" s="10" t="d">
        <x:v>2026-09-22T00:00:00.000Z</x:v>
      </x:c>
      <x:c r="C121" s="2" t="str">
        <x:v>Кафе</x:v>
      </x:c>
      <x:c r="D121" s="2" t="str">
        <x:v>расход</x:v>
      </x:c>
      <x:c r="E121" s="7" t="n">
        <x:v>2100</x:v>
      </x:c>
      <x:c r="F121" s="2" t="str">
        <x:v>Кафе</x:v>
      </x:c>
      <x:c r="G121" s="2" t="str">
        <x:v>нет</x:v>
      </x:c>
      <x:c r="H121" s="2" t="str">
        <x:f>TEXT(B121,"yyyy-mm")</x:f>
        <x:v>2026-09</x:v>
      </x:c>
    </x:row>
  </x:sheetData>
  <x:pageMargins left="0.7" right="0.7" top="0.75" bottom="0.75" header="0.3" footer="0.3"/>
</x:worksheet>
</file>