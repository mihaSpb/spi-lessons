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17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4.xml" ContentType="application/vnd.openxmlformats-officedocument.drawing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6c3216ae2945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Маршрут" sheetId="1" r:id="R7ec8f5ac1e8d4c8a"/>
    <x:sheet xmlns:r="http://schemas.openxmlformats.org/officeDocument/2006/relationships" name="01_Разминка" sheetId="2" r:id="R10831ae0839344bf"/>
    <x:sheet xmlns:r="http://schemas.openxmlformats.org/officeDocument/2006/relationships" name="02_Тексты" sheetId="3" r:id="R2281e11f804e4209"/>
    <x:sheet xmlns:r="http://schemas.openxmlformats.org/officeDocument/2006/relationships" name="03_Структура_работа" sheetId="4" r:id="R9a0ca3661b7f464d"/>
    <x:sheet xmlns:r="http://schemas.openxmlformats.org/officeDocument/2006/relationships" name="03_Структура_готово" sheetId="5" r:id="R2c58b444601f45ed"/>
    <x:sheet xmlns:r="http://schemas.openxmlformats.org/officeDocument/2006/relationships" name="04_Отзывы" sheetId="6" r:id="R30e45a4b3e8c43e8"/>
    <x:sheet xmlns:r="http://schemas.openxmlformats.org/officeDocument/2006/relationships" name="Отзывы_пример" sheetId="7" r:id="R258c25ad03d4442a"/>
    <x:sheet xmlns:r="http://schemas.openxmlformats.org/officeDocument/2006/relationships" name="07_Операции_бизнес" sheetId="8" r:id="R757fd7dd882f4a17"/>
    <x:sheet xmlns:r="http://schemas.openxmlformats.org/officeDocument/2006/relationships" name="08_Бизнес_пример" sheetId="9" r:id="R791cccdf3f0c4bb0"/>
    <x:sheet xmlns:r="http://schemas.openxmlformats.org/officeDocument/2006/relationships" name="05_Разметка_работа" sheetId="10" r:id="R4f833e024022487e"/>
    <x:sheet xmlns:r="http://schemas.openxmlformats.org/officeDocument/2006/relationships" name="06_Разметка_готово" sheetId="11" r:id="Raf7451ffee2046e2"/>
    <x:sheet xmlns:r="http://schemas.openxmlformats.org/officeDocument/2006/relationships" name="07_Показатели_работа" sheetId="12" r:id="R3d3ae8447e154eb9"/>
    <x:sheet xmlns:r="http://schemas.openxmlformats.org/officeDocument/2006/relationships" name="08_Показатели_готово" sheetId="13" r:id="R467d1da3590e42f8"/>
    <x:sheet xmlns:r="http://schemas.openxmlformats.org/officeDocument/2006/relationships" name="09_Заказы" sheetId="14" r:id="Refa732d79cd14c16"/>
    <x:sheet xmlns:r="http://schemas.openxmlformats.org/officeDocument/2006/relationships" name="10_Сводная_работа" sheetId="15" r:id="Rbca72d870939410a"/>
    <x:sheet xmlns:r="http://schemas.openxmlformats.org/officeDocument/2006/relationships" name="11_Сводная_готово" sheetId="16" r:id="R19e7df10e9f24583"/>
    <x:sheet xmlns:r="http://schemas.openxmlformats.org/officeDocument/2006/relationships" name="12_Магазин_дашборд" sheetId="17" r:id="R730634d6a7374dc0"/>
    <x:sheet xmlns:r="http://schemas.openxmlformats.org/officeDocument/2006/relationships" name="13_Операции" sheetId="18" r:id="R2c6a50936866473b"/>
    <x:sheet xmlns:r="http://schemas.openxmlformats.org/officeDocument/2006/relationships" name="14_Бюджет_дашборд" sheetId="19" r:id="R8b50500d12264a6b"/>
    <x:sheet xmlns:r="http://schemas.openxmlformats.org/officeDocument/2006/relationships" name="15_Задания" sheetId="20" r:id="R924abc89323c4c75"/>
    <x:sheet xmlns:r="http://schemas.openxmlformats.org/officeDocument/2006/relationships" name="16_Excel_до" sheetId="21" r:id="R3618c9fd574b4321"/>
    <x:sheet xmlns:r="http://schemas.openxmlformats.org/officeDocument/2006/relationships" name="17_Excel_после" sheetId="22" r:id="R9ec6e2e6855a41ec"/>
    <x:sheet xmlns:r="http://schemas.openxmlformats.org/officeDocument/2006/relationships" name="12_Дашборд_работа" sheetId="23" r:id="Rc2d2851029c44c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dd.mm.yyyy"/>
    <x:numFmt numFmtId="201" formatCode="#,##0.00"/>
    <x:numFmt numFmtId="202" formatCode="#,##0;(#,##0);&quot;—&quot;"/>
    <x:numFmt numFmtId="203" formatCode="0.0%"/>
    <x:numFmt numFmtId="204" formatCode="0%"/>
    <x:numFmt numFmtId="205" formatCode="#,##0;(#,##0)"/>
    <x:numFmt numFmtId="206" formatCode="0.00"/>
    <x:numFmt numFmtId="207" formatCode="0"/>
    <x:numFmt numFmtId="208" formatCode="#,##0"/>
  </x:numFmts>
  <x:fonts count="14">
    <x:font>
      <x:sz val="11"/>
      <x:name val="Carlito"/>
    </x:font>
    <x:font>
      <x:sz val="11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  <x:font>
      <x:b/>
      <x:sz val="11"/>
      <x:color rgb="FF19212B"/>
      <x:name val="Arial"/>
    </x:font>
    <x:font>
      <x:sz val="11"/>
      <x:color rgb="FF19212B"/>
      <x:name val="Arial"/>
    </x:font>
    <x:font>
      <x:b/>
      <x:sz val="16"/>
      <x:color rgb="FF19212B"/>
      <x:name val="Arial"/>
    </x:font>
    <x:font>
      <x:sz val="10"/>
      <x:color rgb="FF19212B"/>
      <x:name val="Arial"/>
    </x:font>
    <x:font>
      <x:sz val="10"/>
      <x:color rgb="FF687684"/>
      <x:name val="Arial"/>
    </x:font>
    <x:font>
      <x:sz val="11"/>
      <x:color rgb="FF1556A1"/>
      <x:name val="Arial"/>
    </x:font>
    <x:font>
      <x:b/>
      <x:sz val="22"/>
      <x:color rgb="FF19212B"/>
      <x:name val="Arial"/>
    </x:font>
    <x:font>
      <x:sz val="11"/>
      <x:color rgb="FF687684"/>
      <x:name val="Arial"/>
    </x:font>
    <x:font>
      <x:sz val="24"/>
      <x:color rgb="FF19212B"/>
      <x:name val="Arial"/>
    </x:font>
    <x:font>
      <x:b/>
      <x:sz val="24"/>
      <x:color rgb="FF19212B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9212B"/>
      </x:patternFill>
    </x:fill>
    <x:fill>
      <x:patternFill patternType="solid">
        <x:fgColor rgb="FFFFFFFF"/>
      </x:patternFill>
    </x:fill>
    <x:fill>
      <x:patternFill patternType="solid">
        <x:fgColor rgb="FFFFF0D6"/>
      </x:patternFill>
    </x:fill>
    <x:fill>
      <x:patternFill patternType="solid">
        <x:fgColor rgb="FFF1F4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202" fontId="5" fillId="3" borderId="0" xfId="0" applyNumberFormat="1" applyFont="1" applyFill="1" applyBorder="1" applyAlignment="1">
      <x:alignment vertical="center"/>
    </x:xf>
    <x:xf numFmtId="202" fontId="4" fillId="4" borderId="0" xfId="0" applyNumberFormat="1" applyFont="1" applyFill="1" applyBorder="1" applyAlignment="1">
      <x:alignment vertical="center"/>
    </x:xf>
    <x:xf numFmtId="203" fontId="5" fillId="3" borderId="0" xfId="0" applyNumberFormat="1" applyFont="1" applyFill="1" applyBorder="1" applyAlignment="1">
      <x:alignment vertical="center"/>
    </x:xf>
    <x:xf numFmtId="204" fontId="5" fillId="3" borderId="0" xfId="0" applyNumberFormat="1" applyFont="1" applyFill="1" applyBorder="1" applyAlignment="1">
      <x:alignment vertical="center"/>
    </x:xf>
    <x:xf numFmtId="204" fontId="5" fillId="4" borderId="0" xfId="0" applyNumberFormat="1" applyFont="1" applyFill="1" applyBorder="1" applyAlignment="1">
      <x:alignment vertical="center"/>
    </x:xf>
    <x:xf numFmtId="204" fontId="9" fillId="4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5" fontId="5" fillId="3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7" fontId="1" fillId="3" borderId="0" xfId="0" applyNumberFormat="1" applyFont="1" applyFill="1" applyBorder="1" applyAlignment="1">
      <x:alignment vertical="center"/>
    </x:xf>
    <x:xf numFmtId="207" fontId="5" fillId="3" borderId="0" xfId="0" applyNumberFormat="1" applyFont="1" applyFill="1" applyBorder="1" applyAlignment="1">
      <x:alignment vertical="center"/>
    </x:xf>
    <x:xf numFmtId="0" fontId="10" fillId="3" borderId="0" xfId="0" applyNumberFormat="1" applyFont="1" applyFill="1" applyBorder="1" applyAlignment="1">
      <x:alignment vertical="center" wrapText="1"/>
    </x:xf>
    <x:xf numFmtId="0" fontId="11" fillId="3" borderId="0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207" fontId="5" fillId="5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0" fontId="12" fillId="5" borderId="0" xfId="0" applyNumberFormat="1" applyFont="1" applyFill="1" applyBorder="1" applyAlignment="1">
      <x:alignment vertical="center"/>
    </x:xf>
    <x:xf numFmtId="0" fontId="13" fillId="5" borderId="0" xfId="0" applyNumberFormat="1" applyFont="1" applyFill="1" applyBorder="1" applyAlignment="1">
      <x:alignment vertical="center"/>
    </x:xf>
    <x:xf numFmtId="207" fontId="13" fillId="5" borderId="0" xfId="0" applyNumberFormat="1" applyFont="1" applyFill="1" applyBorder="1" applyAlignment="1">
      <x:alignment vertical="center"/>
    </x:xf>
    <x:xf numFmtId="208" fontId="13" fillId="5" borderId="0" xfId="0" applyNumberFormat="1" applyFont="1" applyFill="1" applyBorder="1" applyAlignment="1">
      <x:alignment vertical="center"/>
    </x:xf>
    <x:xf numFmtId="208" fontId="5" fillId="3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bf2a203f8c494e" /><Relationship Type="http://schemas.openxmlformats.org/officeDocument/2006/relationships/theme" Target="/xl/theme/theme1.xml" Id="Rada2ae8233734dc7" /><Relationship Type="http://schemas.openxmlformats.org/officeDocument/2006/relationships/sharedStrings" Target="/xl/sharedStrings.xml" Id="Re54c228a3d6d4bad" /><Relationship Type="http://schemas.openxmlformats.org/officeDocument/2006/relationships/worksheet" Target="/xl/worksheets/sheet1.xml" Id="R7ec8f5ac1e8d4c8a" /><Relationship Type="http://schemas.openxmlformats.org/officeDocument/2006/relationships/worksheet" Target="/xl/worksheets/sheet2.xml" Id="R10831ae0839344bf" /><Relationship Type="http://schemas.openxmlformats.org/officeDocument/2006/relationships/worksheet" Target="/xl/worksheets/sheet3.xml" Id="R2281e11f804e4209" /><Relationship Type="http://schemas.openxmlformats.org/officeDocument/2006/relationships/worksheet" Target="/xl/worksheets/sheet4.xml" Id="R9a0ca3661b7f464d" /><Relationship Type="http://schemas.openxmlformats.org/officeDocument/2006/relationships/worksheet" Target="/xl/worksheets/sheet5.xml" Id="R2c58b444601f45ed" /><Relationship Type="http://schemas.openxmlformats.org/officeDocument/2006/relationships/worksheet" Target="/xl/worksheets/sheet6.xml" Id="R30e45a4b3e8c43e8" /><Relationship Type="http://schemas.openxmlformats.org/officeDocument/2006/relationships/worksheet" Target="/xl/worksheets/sheet7.xml" Id="R258c25ad03d4442a" /><Relationship Type="http://schemas.openxmlformats.org/officeDocument/2006/relationships/worksheet" Target="/xl/worksheets/sheet8.xml" Id="R757fd7dd882f4a17" /><Relationship Type="http://schemas.openxmlformats.org/officeDocument/2006/relationships/worksheet" Target="/xl/worksheets/sheet9.xml" Id="R791cccdf3f0c4bb0" /><Relationship Type="http://schemas.openxmlformats.org/officeDocument/2006/relationships/worksheet" Target="/xl/worksheets/sheet10.xml" Id="R4f833e024022487e" /><Relationship Type="http://schemas.openxmlformats.org/officeDocument/2006/relationships/worksheet" Target="/xl/worksheets/sheet11.xml" Id="Raf7451ffee2046e2" /><Relationship Type="http://schemas.openxmlformats.org/officeDocument/2006/relationships/worksheet" Target="/xl/worksheets/sheet12.xml" Id="R3d3ae8447e154eb9" /><Relationship Type="http://schemas.openxmlformats.org/officeDocument/2006/relationships/worksheet" Target="/xl/worksheets/sheet13.xml" Id="R467d1da3590e42f8" /><Relationship Type="http://schemas.openxmlformats.org/officeDocument/2006/relationships/worksheet" Target="/xl/worksheets/sheet14.xml" Id="Refa732d79cd14c16" /><Relationship Type="http://schemas.openxmlformats.org/officeDocument/2006/relationships/worksheet" Target="/xl/worksheets/sheet15.xml" Id="Rbca72d870939410a" /><Relationship Type="http://schemas.openxmlformats.org/officeDocument/2006/relationships/worksheet" Target="/xl/worksheets/sheet16.xml" Id="R19e7df10e9f24583" /><Relationship Type="http://schemas.openxmlformats.org/officeDocument/2006/relationships/worksheet" Target="/xl/worksheets/sheet17.xml" Id="R730634d6a7374dc0" /><Relationship Type="http://schemas.openxmlformats.org/officeDocument/2006/relationships/worksheet" Target="/xl/worksheets/sheet18.xml" Id="R2c6a50936866473b" /><Relationship Type="http://schemas.openxmlformats.org/officeDocument/2006/relationships/worksheet" Target="/xl/worksheets/sheet19.xml" Id="R8b50500d12264a6b" /><Relationship Type="http://schemas.openxmlformats.org/officeDocument/2006/relationships/worksheet" Target="/xl/worksheets/sheet20.xml" Id="R924abc89323c4c75" /><Relationship Type="http://schemas.openxmlformats.org/officeDocument/2006/relationships/worksheet" Target="/xl/worksheets/sheet21.xml" Id="R3618c9fd574b4321" /><Relationship Type="http://schemas.openxmlformats.org/officeDocument/2006/relationships/worksheet" Target="/xl/worksheets/sheet22.xml" Id="R9ec6e2e6855a41ec" /><Relationship Type="http://schemas.openxmlformats.org/officeDocument/2006/relationships/worksheet" Target="/xl/worksheets/sheet23.xml" Id="Rc2d2851029c44c6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3a3f389d8604c9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0b6252d65a574a8f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c538bb3236f54b03" /><Relationship Type="http://schemas.openxmlformats.org/officeDocument/2006/relationships/chart" Target="/xl/drawings/charts/chart4.xml" Id="Re1edd81606474339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2f56554b55da412c" /><Relationship Type="http://schemas.openxmlformats.org/officeDocument/2006/relationships/chart" Target="/xl/drawings/charts/chart6.xml" Id="Rf60c62d5641041d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Темы обратной связи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Число отзывов</c:v>
          </c:tx>
          <c:spPr>
            <a:solidFill xmlns:a="http://schemas.openxmlformats.org/drawingml/2006/main">
              <a:srgbClr val="FF6B00"/>
            </a:solidFill>
          </c:spPr>
          <c:invertIfNegative val="0"/>
          <c:cat>
            <c:strRef>
              <c:f>'08_Показатели_готово'!$A$13:$A$20</c:f>
              <c:strCache>
                <c:ptCount val="0"/>
              </c:strCache>
            </c:strRef>
          </c:cat>
          <c:val>
            <c:numRef>
              <c:f>'08_Показатели_готово'!$B$13:$B$20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Выручка по месяцам и каналам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Маркетплейс</c:v>
          </c:tx>
          <c:spPr>
            <a:solidFill xmlns:a="http://schemas.openxmlformats.org/drawingml/2006/main">
              <a:srgbClr val="FF6B00"/>
            </a:solidFill>
          </c:spPr>
          <c:invertIfNegative val="0"/>
          <c:cat>
            <c:strRef>
              <c:f>'11_Сводная_готово'!$A$2:$A$4</c:f>
              <c:strCache>
                <c:ptCount val="0"/>
              </c:strCache>
            </c:strRef>
          </c:cat>
          <c:val>
            <c:numRef>
              <c:f>'11_Сводная_готово'!$B$2:$B$4</c:f>
              <c:numCache>
                <c:formatCode>#,##0.00</c:formatCode>
                <c:ptCount val="0"/>
              </c:numCache>
            </c:numRef>
          </c:val>
        </c:ser>
        <c:ser>
          <c:idx val="1"/>
          <c:order val="1"/>
          <c:tx>
            <c:v>Соцсети</c:v>
          </c:tx>
          <c:spPr>
            <a:solidFill xmlns:a="http://schemas.openxmlformats.org/drawingml/2006/main">
              <a:srgbClr val="19212B"/>
            </a:solidFill>
          </c:spPr>
          <c:invertIfNegative val="0"/>
          <c:cat>
            <c:strRef>
              <c:f>'11_Сводная_готово'!$A$2:$A$4</c:f>
              <c:strCache>
                <c:ptCount val="0"/>
              </c:strCache>
            </c:strRef>
          </c:cat>
          <c:val>
            <c:numRef>
              <c:f>'11_Сводная_готово'!$C$2:$C$4</c:f>
              <c:numCache>
                <c:formatCode>#,##0.00</c:formatCode>
                <c:ptCount val="0"/>
              </c:numCache>
            </c:numRef>
          </c:val>
        </c:ser>
        <c:ser>
          <c:idx val="2"/>
          <c:order val="2"/>
          <c:tx>
            <c:v>Сайт</c:v>
          </c:tx>
          <c:spPr>
            <a:solidFill xmlns:a="http://schemas.openxmlformats.org/drawingml/2006/main">
              <a:srgbClr val="5B7B88"/>
            </a:solidFill>
          </c:spPr>
          <c:invertIfNegative val="0"/>
          <c:cat>
            <c:strRef>
              <c:f>'11_Сводная_готово'!$A$2:$A$4</c:f>
              <c:strCache>
                <c:ptCount val="0"/>
              </c:strCache>
            </c:strRef>
          </c:cat>
          <c:val>
            <c:numRef>
              <c:f>'11_Сводная_готово'!$D$2:$D$4</c:f>
              <c:numCache>
                <c:formatCode>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По месяцам, ₽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Выручка, ₽</c:v>
          </c:tx>
          <c:spPr>
            <a:solidFill xmlns:a="http://schemas.openxmlformats.org/drawingml/2006/main">
              <a:srgbClr val="FF6B00"/>
            </a:solidFill>
          </c:spPr>
          <c:invertIfNegative val="0"/>
          <c:cat>
            <c:strRef>
              <c:f>'12_Магазин_дашборд'!$A$44:$A$46</c:f>
              <c:strCache>
                <c:ptCount val="0"/>
              </c:strCache>
            </c:strRef>
          </c:cat>
          <c:val>
            <c:numRef>
              <c:f>'12_Магазин_дашборд'!$B$44:$B$46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Валовая прибыль, ₽</c:v>
          </c:tx>
          <c:spPr>
            <a:solidFill xmlns:a="http://schemas.openxmlformats.org/drawingml/2006/main">
              <a:srgbClr val="19212B"/>
            </a:solidFill>
          </c:spPr>
          <c:invertIfNegative val="0"/>
          <c:cat>
            <c:strRef>
              <c:f>'12_Магазин_дашборд'!$A$44:$A$46</c:f>
              <c:strCache>
                <c:ptCount val="0"/>
              </c:strCache>
            </c:strRef>
          </c:cat>
          <c:val>
            <c:numRef>
              <c:f>'12_Магазин_дашборд'!$C$44:$C$46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По каналам, ₽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Выручка, ₽</c:v>
          </c:tx>
          <c:spPr>
            <a:solidFill xmlns:a="http://schemas.openxmlformats.org/drawingml/2006/main">
              <a:srgbClr val="FF6B00"/>
            </a:solidFill>
          </c:spPr>
          <c:invertIfNegative val="0"/>
          <c:cat>
            <c:strRef>
              <c:f>'12_Магазин_дашборд'!$A$50:$A$52</c:f>
              <c:strCache>
                <c:ptCount val="0"/>
              </c:strCache>
            </c:strRef>
          </c:cat>
          <c:val>
            <c:numRef>
              <c:f>'12_Магазин_дашборд'!$B$50:$B$52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Валовая прибыль, ₽</c:v>
          </c:tx>
          <c:spPr>
            <a:solidFill xmlns:a="http://schemas.openxmlformats.org/drawingml/2006/main">
              <a:srgbClr val="19212B"/>
            </a:solidFill>
          </c:spPr>
          <c:invertIfNegative val="0"/>
          <c:cat>
            <c:strRef>
              <c:f>'12_Магазин_дашборд'!$A$50:$A$52</c:f>
              <c:strCache>
                <c:ptCount val="0"/>
              </c:strCache>
            </c:strRef>
          </c:cat>
          <c:val>
            <c:numRef>
              <c:f>'12_Магазин_дашборд'!$C$50:$C$52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Расходы по категориям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Расходы, ₽</c:v>
          </c:tx>
          <c:spPr>
            <a:solidFill xmlns:a="http://schemas.openxmlformats.org/drawingml/2006/main">
              <a:srgbClr val="FF6B00"/>
            </a:solidFill>
          </c:spPr>
          <c:invertIfNegative val="0"/>
          <c:cat>
            <c:strRef>
              <c:f>'14_Бюджет_дашборд'!$A$14:$A$23</c:f>
              <c:strCache>
                <c:ptCount val="0"/>
              </c:strCache>
            </c:strRef>
          </c:cat>
          <c:val>
            <c:numRef>
              <c:f>'14_Бюджет_дашборд'!$B$14:$B$23</c:f>
              <c:numCache>
                <c:formatCode>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Доходы и чистые расходы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Доходы, ₽</c:v>
          </c:tx>
          <c:spPr>
            <a:solidFill xmlns:a="http://schemas.openxmlformats.org/drawingml/2006/main">
              <a:srgbClr val="FF6B00"/>
            </a:solidFill>
          </c:spPr>
          <c:invertIfNegative val="0"/>
          <c:cat>
            <c:strRef>
              <c:f>'14_Бюджет_дашборд'!$A$26:$A$27</c:f>
              <c:strCache>
                <c:ptCount val="0"/>
              </c:strCache>
            </c:strRef>
          </c:cat>
          <c:val>
            <c:numRef>
              <c:f>'14_Бюджет_дашборд'!$B$26:$B$27</c:f>
              <c:numCache>
                <c:formatCode>#,##0.00</c:formatCode>
                <c:ptCount val="0"/>
              </c:numCache>
            </c:numRef>
          </c:val>
        </c:ser>
        <c:ser>
          <c:idx val="1"/>
          <c:order val="1"/>
          <c:tx>
            <c:v>Чистые расходы, ₽</c:v>
          </c:tx>
          <c:spPr>
            <a:solidFill xmlns:a="http://schemas.openxmlformats.org/drawingml/2006/main">
              <a:srgbClr val="19212B"/>
            </a:solidFill>
          </c:spPr>
          <c:invertIfNegative val="0"/>
          <c:cat>
            <c:strRef>
              <c:f>'14_Бюджет_дашборд'!$A$26:$A$27</c:f>
              <c:strCache>
                <c:ptCount val="0"/>
              </c:strCache>
            </c:strRef>
          </c:cat>
          <c:val>
            <c:numRef>
              <c:f>'14_Бюджет_дашборд'!$C$26:$C$27</c:f>
              <c:numCache>
                <c:formatCode>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3a3f389d8604c9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6</xdr:col>
      <xdr:colOff>0</xdr:colOff>
      <xdr:row>1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b6252d65a574a8f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0</xdr:col>
      <xdr:colOff>0</xdr:colOff>
      <xdr:row>10</xdr:row>
      <xdr:rowOff>0</xdr:rowOff>
    </xdr:from>
    <xdr:to>
      <xdr:col>6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538bb3236f54b03"/>
        </a:graphicData>
      </a:graphic>
    </xdr:graphicFrame>
    <xdr:clientData/>
  </xdr:twoCellAnchor>
  <xdr:twoCellAnchor>
    <xdr:from>
      <xdr:col>6</xdr:col>
      <xdr:colOff>0</xdr:colOff>
      <xdr:row>10</xdr:row>
      <xdr:rowOff>0</xdr:rowOff>
    </xdr:from>
    <xdr:to>
      <xdr:col>12</xdr:col>
      <xdr:colOff>0</xdr:colOff>
      <xdr:row>25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1edd81606474339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4</xdr:col>
      <xdr:colOff>0</xdr:colOff>
      <xdr:row>2</xdr:row>
      <xdr:rowOff>0</xdr:rowOff>
    </xdr:from>
    <xdr:to>
      <xdr:col>13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f56554b55da412c"/>
        </a:graphicData>
      </a:graphic>
    </xdr:graphicFrame>
    <xdr:clientData/>
  </xdr:twoCellAnchor>
  <xdr:twoCellAnchor>
    <xdr:from>
      <xdr:col>4</xdr:col>
      <xdr:colOff>0</xdr:colOff>
      <xdr:row>22</xdr:row>
      <xdr:rowOff>0</xdr:rowOff>
    </xdr:from>
    <xdr:to>
      <xdr:col>13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60c62d5641041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.xml" Id="R3526ea2def4542c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2.xml" Id="R54f0c9a230f549bf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drawing" Target="/xl/drawings/drawing3.xml" Id="Re68a82cf18384d0c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drawing" Target="/xl/drawings/drawing4.xml" Id="R797df21e84bc4c86" /></Relationships>
</file>

<file path=xl/worksheets/sheet1.xml><?xml version="1.0" encoding="utf-8"?>
<x:worksheet xmlns:x="http://schemas.openxmlformats.org/spreadsheetml/2006/main">
  <x:sheetPr>
    <x:tabColor rgb="FF19212B"/>
  </x:sheetPr>
  <x:sheetViews>
    <x:sheetView showGridLines="0" workbookViewId="0"/>
  </x:sheetViews>
  <x:sheetFormatPr defaultRowHeight="15"/>
  <x:cols>
    <x:col min="1" max="1" width="42" hidden="0" customWidth="1"/>
    <x:col min="2" max="2" width="90" hidden="0" customWidth="1"/>
    <x:col min="3" max="3" width="80" hidden="0" customWidth="1"/>
  </x:cols>
  <x:sheetData>
    <x:row r="1" ht="34" customHeight="1">
      <x:c r="A1" s="6" t="str">
        <x:v>Аналитика и таблицы</x:v>
      </x:c>
      <x:c r="B1" s="6" t="str">
        <x:v>Сначала обычный ChatGPT, затем Google Таблицы</x:v>
      </x:c>
      <x:c r="C1" s="6"/>
    </x:row>
    <x:row r="2" ht="26" customHeight="1">
      <x:c r="A2" s="2" t="str">
        <x:v>Блок</x:v>
      </x:c>
      <x:c r="B2" s="2" t="str">
        <x:v>Что делаем</x:v>
      </x:c>
      <x:c r="C2" s="2" t="str">
        <x:v>Где инструкция</x:v>
      </x:c>
    </x:row>
    <x:row r="3" ht="26" customHeight="1">
      <x:c r="A3" s="2" t="str">
        <x:v>1. Обычный ChatGPT</x:v>
      </x:c>
      <x:c r="B3" s="2" t="str">
        <x:v>Магазин: продажи, дашборд, формулы. Семья: чат → отчёт → тот же дашборд. Затем отзывы.</x:v>
      </x:c>
      <x:c r="C3" s="2" t="str">
        <x:v>https://larkinmd7.ru/learn/shpi/analytics/</x:v>
      </x:c>
    </x:row>
    <x:row r="4" ht="26" customHeight="1">
      <x:c r="A4" s="2" t="str">
        <x:v>2. Панель ChatGPT в Google</x:v>
      </x:c>
      <x:c r="B4" s="2" t="str">
        <x:v>Отзывы рядом с исходником, денежная модель, сводная, дашборд</x:v>
      </x:c>
      <x:c r="C4" s="2" t="str">
        <x:v>https://larkinmd7.ru/learn/shpi/analytics/guide.html</x:v>
      </x:c>
    </x:row>
    <x:row r="5" ht="26" customHeight="1">
      <x:c r="A5" s="2" t="str">
        <x:v>Отзывы</x:v>
      </x:c>
      <x:c r="B5" s="2" t="str">
        <x:v>04_Отзывы → новые H:K; пример Отзывы_пример</x:v>
      </x:c>
      <x:c r="C5" s="2"/>
    </x:row>
    <x:row r="6" ht="26" customHeight="1">
      <x:c r="A6" s="2" t="str">
        <x:v>Модель бизнеса</x:v>
      </x:c>
      <x:c r="B6" s="2" t="str">
        <x:v>07_Операции_бизнес → отчёт; пример 08_Бизнес_пример</x:v>
      </x:c>
      <x:c r="C6" s="2"/>
    </x:row>
    <x:row r="7" ht="26" customHeight="1">
      <x:c r="A7" s="2" t="str">
        <x:v>Сводная</x:v>
      </x:c>
      <x:c r="B7" s="2" t="str">
        <x:v>09_Заказы → 10_Сводная_работа; пример 11_Сводная_готово</x:v>
      </x:c>
      <x:c r="C7" s="2"/>
    </x:row>
    <x:row r="8" ht="26" customHeight="1">
      <x:c r="A8" s="2" t="str">
        <x:v>Дашборд</x:v>
      </x:c>
      <x:c r="B8" s="2" t="str">
        <x:v>12_Дашборд_работа; пример 12_Магазин_дашборд</x:v>
      </x:c>
      <x:c r="C8" s="2"/>
    </x:row>
    <x:row r="9" ht="26" customHeight="1">
      <x:c r="A9" s="2" t="str">
        <x:v>Самостоятельные задания</x:v>
      </x:c>
      <x:c r="B9" s="2" t="str">
        <x:v>15_Задания: файл, место работы, точное действие и результат</x:v>
      </x:c>
      <x:c r="C9" s="2"/>
    </x:row>
    <x:row r="10" ht="26" customHeight="1">
      <x:c r="A10" s="2"/>
      <x:c r="B10" s="2"/>
      <x:c r="C10" s="2"/>
    </x:row>
    <x:row r="11" ht="26" customHeight="1">
      <x:c r="A11" s="2" t="str">
        <x:v>В учебной книге есть результаты разных примеров. Для изменений создайте свою копию.</x:v>
      </x:c>
      <x:c r="B11" s="2"/>
      <x:c r="C11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9212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18" hidden="0" customWidth="1"/>
    <x:col min="4" max="4" width="85" hidden="0" customWidth="1"/>
  </x:cols>
  <x:sheetData>
    <x:row r="1" ht="34" customHeight="1">
      <x:c r="A1" s="6" t="str">
        <x:v>ID</x:v>
      </x:c>
      <x:c r="B1" s="6" t="str">
        <x:v>Оценка</x:v>
      </x:c>
      <x:c r="C1" s="6" t="str">
        <x:v>Рекомендую</x:v>
      </x:c>
      <x:c r="D1" s="6" t="str">
        <x:v>Комментарий</x:v>
      </x:c>
    </x:row>
    <x:row r="2" ht="26" customHeight="1">
      <x:c r="A2" s="2" t="n">
        <x:v>1</x:v>
      </x:c>
      <x:c r="B2" s="2" t="n">
        <x:v>5</x:v>
      </x:c>
      <x:c r="C2" s="2" t="str">
        <x:v>да</x:v>
      </x:c>
      <x:c r="D2" s="2" t="str">
        <x:v>Теперь понимаю как написать письмо клиенту</x:v>
      </x:c>
    </x:row>
    <x:row r="3" ht="26" customHeight="1">
      <x:c r="A3" s="2" t="n">
        <x:v>2</x:v>
      </x:c>
      <x:c r="B3" s="2" t="n">
        <x:v>4</x:v>
      </x:c>
      <x:c r="C3" s="2" t="str">
        <x:v>да</x:v>
      </x:c>
      <x:c r="D3" s="2" t="str">
        <x:v>Полезно было сравнение ответов на одну задачу</x:v>
      </x:c>
    </x:row>
    <x:row r="4" ht="26" customHeight="1">
      <x:c r="A4" s="2" t="n">
        <x:v>3</x:v>
      </x:c>
      <x:c r="B4" s="2" t="n">
        <x:v>5</x:v>
      </x:c>
      <x:c r="C4" s="2" t="str">
        <x:v>да</x:v>
      </x:c>
      <x:c r="D4" s="2" t="str">
        <x:v>Понравилось как из отзывов получились цифры</x:v>
      </x:c>
    </x:row>
    <x:row r="5" ht="26" customHeight="1">
      <x:c r="A5" s="2" t="n">
        <x:v>4</x:v>
      </x:c>
      <x:c r="B5" s="2" t="n">
        <x:v>3</x:v>
      </x:c>
      <x:c r="C5" s="2" t="str">
        <x:v>да</x:v>
      </x:c>
      <x:c r="D5" s="2" t="str">
        <x:v>Хочу больше времени на проверку источников</x:v>
      </x:c>
    </x:row>
    <x:row r="6" ht="26" customHeight="1">
      <x:c r="A6" s="2" t="n">
        <x:v>5</x:v>
      </x:c>
      <x:c r="B6" s="2" t="n">
        <x:v>4</x:v>
      </x:c>
      <x:c r="C6" s="2" t="str">
        <x:v>да</x:v>
      </x:c>
      <x:c r="D6" s="2" t="str">
        <x:v>Стало понятно как выбрать сервис для презентации</x:v>
      </x:c>
    </x:row>
    <x:row r="7" ht="26" customHeight="1">
      <x:c r="A7" s="2" t="n">
        <x:v>6</x:v>
      </x:c>
      <x:c r="B7" s="2" t="n">
        <x:v>2</x:v>
      </x:c>
      <x:c r="C7" s="2" t="str">
        <x:v>нет</x:v>
      </x:c>
      <x:c r="D7" s="2" t="str">
        <x:v>Не смог открыть сервис и не понял чем заменить</x:v>
      </x:c>
    </x:row>
    <x:row r="8" ht="26" customHeight="1">
      <x:c r="A8" s="2" t="n">
        <x:v>7</x:v>
      </x:c>
      <x:c r="B8" s="2" t="n">
        <x:v>5</x:v>
      </x:c>
      <x:c r="C8" s="2" t="str">
        <x:v>да</x:v>
      </x:c>
      <x:c r="D8" s="2" t="str">
        <x:v>Пример с расшифровкой встречи очень полезный</x:v>
      </x:c>
    </x:row>
    <x:row r="9" ht="26" customHeight="1">
      <x:c r="A9" s="2" t="n">
        <x:v>8</x:v>
      </x:c>
      <x:c r="B9" s="2" t="n">
        <x:v>4</x:v>
      </x:c>
      <x:c r="C9" s="2" t="str">
        <x:v>да</x:v>
      </x:c>
      <x:c r="D9" s="2" t="str">
        <x:v>Понравилась готовая обложка презентации</x:v>
      </x:c>
    </x:row>
    <x:row r="10" ht="26" customHeight="1">
      <x:c r="A10" s="2" t="n">
        <x:v>9</x:v>
      </x:c>
      <x:c r="B10" s="2" t="n">
        <x:v>3</x:v>
      </x:c>
      <x:c r="C10" s="2" t="str">
        <x:v>нет</x:v>
      </x:c>
      <x:c r="D10" s="2" t="str">
        <x:v>Слишком быстро показали загрузку таблицы</x:v>
      </x:c>
    </x:row>
    <x:row r="11" ht="26" customHeight="1">
      <x:c r="A11" s="2" t="n">
        <x:v>10</x:v>
      </x:c>
      <x:c r="B11" s="2" t="n">
        <x:v>5</x:v>
      </x:c>
      <x:c r="C11" s="2" t="str">
        <x:v>да</x:v>
      </x:c>
      <x:c r="D11" s="2" t="str">
        <x:v>Письмо получилось понятным и коротким</x:v>
      </x:c>
    </x:row>
    <x:row r="12" ht="26" customHeight="1">
      <x:c r="A12" s="2" t="n">
        <x:v>11</x:v>
      </x:c>
      <x:c r="B12" s="2" t="n">
        <x:v>4</x:v>
      </x:c>
      <x:c r="C12" s="2" t="str">
        <x:v>да</x:v>
      </x:c>
      <x:c r="D12" s="2" t="str">
        <x:v>Теперь буду проверять ссылки в сводках</x:v>
      </x:c>
    </x:row>
    <x:row r="13" ht="26" customHeight="1">
      <x:c r="A13" s="2" t="n">
        <x:v>12</x:v>
      </x:c>
      <x:c r="B13" s="2" t="n">
        <x:v>2</x:v>
      </x:c>
      <x:c r="C13" s="2" t="str">
        <x:v>нет</x:v>
      </x:c>
      <x:c r="D13" s="2" t="str">
        <x:v>Запутался в подписках и способах оплаты</x:v>
      </x:c>
    </x:row>
    <x:row r="14" ht="26" customHeight="1">
      <x:c r="A14" s="2" t="n">
        <x:v>13</x:v>
      </x:c>
      <x:c r="B14" s="2" t="n">
        <x:v>5</x:v>
      </x:c>
      <x:c r="C14" s="2" t="str">
        <x:v>да</x:v>
      </x:c>
      <x:c r="D14" s="2" t="str">
        <x:v>Полезно увидел разницу между текстом и озвучкой</x:v>
      </x:c>
    </x:row>
    <x:row r="15" ht="26" customHeight="1">
      <x:c r="A15" s="2" t="n">
        <x:v>14</x:v>
      </x:c>
      <x:c r="B15" s="2" t="n">
        <x:v>4</x:v>
      </x:c>
      <x:c r="C15" s="2" t="str">
        <x:v>да</x:v>
      </x:c>
      <x:c r="D15" s="2" t="str">
        <x:v>Выбрал инструмент для рабочей таблицы</x:v>
      </x:c>
    </x:row>
    <x:row r="16" ht="26" customHeight="1">
      <x:c r="A16" s="2" t="n">
        <x:v>15</x:v>
      </x:c>
      <x:c r="B16" s="2" t="n">
        <x:v>3</x:v>
      </x:c>
      <x:c r="C16" s="2" t="str">
        <x:v>нет</x:v>
      </x:c>
      <x:c r="D16" s="2" t="str">
        <x:v>Хочу подробнее разобрать ограничения видео</x:v>
      </x:c>
    </x:row>
    <x:row r="17" ht="26" customHeight="1">
      <x:c r="A17" s="2" t="n">
        <x:v>16</x:v>
      </x:c>
      <x:c r="B17" s="2" t="n">
        <x:v>5</x:v>
      </x:c>
      <x:c r="C17" s="2" t="str">
        <x:v>да</x:v>
      </x:c>
      <x:c r="D17" s="2" t="str">
        <x:v>Понятный пример подготовки трёх слайдов</x:v>
      </x:c>
    </x:row>
    <x:row r="18" ht="26" customHeight="1">
      <x:c r="A18" s="2" t="n">
        <x:v>17</x:v>
      </x:c>
      <x:c r="B18" s="2" t="n">
        <x:v>4</x:v>
      </x:c>
      <x:c r="C18" s="2" t="str">
        <x:v>да</x:v>
      </x:c>
      <x:c r="D18" s="2" t="str">
        <x:v>Взял идею сравнивать ответы по условиям задачи</x:v>
      </x:c>
    </x:row>
    <x:row r="19" ht="26" customHeight="1">
      <x:c r="A19" s="2" t="n">
        <x:v>18</x:v>
      </x:c>
      <x:c r="B19" s="2" t="n">
        <x:v>3</x:v>
      </x:c>
      <x:c r="C19" s="2" t="str">
        <x:v>нет</x:v>
      </x:c>
      <x:c r="D19" s="2" t="str">
        <x:v>Нужна пошаговая памятка регистрации</x:v>
      </x:c>
    </x:row>
    <x:row r="20" ht="26" customHeight="1">
      <x:c r="A20" s="2" t="n">
        <x:v>19</x:v>
      </x:c>
      <x:c r="B20" s="2" t="n">
        <x:v>5</x:v>
      </x:c>
      <x:c r="C20" s="2" t="str">
        <x:v>да</x:v>
      </x:c>
      <x:c r="D20" s="2" t="str">
        <x:v>Понял когда искать страницы и когда просить сводку</x:v>
      </x:c>
    </x:row>
    <x:row r="21" ht="26" customHeight="1">
      <x:c r="A21" s="2" t="n">
        <x:v>20</x:v>
      </x:c>
      <x:c r="B21" s="2" t="n">
        <x:v>4</x:v>
      </x:c>
      <x:c r="C21" s="2" t="str">
        <x:v>да</x:v>
      </x:c>
      <x:c r="D21" s="2" t="str">
        <x:v>Карта помогла выбрать инструменты для моих задач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9212B"/>
  </x:sheetPr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90" hidden="0" customWidth="1"/>
  </x:cols>
  <x:sheetData>
    <x:row r="1" ht="34" customHeight="1">
      <x:c r="A1" s="6" t="str">
        <x:v>ID</x:v>
      </x:c>
      <x:c r="B1" s="6" t="str">
        <x:v>Дата_заметки</x:v>
      </x:c>
      <x:c r="C1" s="6" t="str">
        <x:v>Текст</x:v>
      </x:c>
    </x:row>
    <x:row r="2" ht="26" customHeight="1">
      <x:c r="A2" s="2" t="str">
        <x:v>N01</x:v>
      </x:c>
      <x:c r="B2" s="7" t="d">
        <x:v>2026-09-20T00:00:00.000Z</x:v>
      </x:c>
      <x:c r="C2" s="2" t="str">
        <x:v>3 сентября продукты 2450 руб</x:v>
      </x:c>
    </x:row>
    <x:row r="3" ht="26" customHeight="1">
      <x:c r="A3" s="2" t="str">
        <x:v>N02</x:v>
      </x:c>
      <x:c r="B3" s="7" t="d">
        <x:v>2026-09-20T00:00:00.000Z</x:v>
      </x:c>
      <x:c r="C3" s="2" t="str">
        <x:v>04.09 такси 680</x:v>
      </x:c>
    </x:row>
    <x:row r="4" ht="26" customHeight="1">
      <x:c r="A4" s="2" t="str">
        <x:v>N03</x:v>
      </x:c>
      <x:c r="B4" s="7" t="d">
        <x:v>2026-09-20T00:00:00.000Z</x:v>
      </x:c>
      <x:c r="C4" s="2" t="str">
        <x:v>5 сентября перевёл 10 тысяч на свой накопительный счёт</x:v>
      </x:c>
    </x:row>
    <x:row r="5" ht="26" customHeight="1">
      <x:c r="A5" s="2" t="str">
        <x:v>N04</x:v>
      </x:c>
      <x:c r="B5" s="7" t="d">
        <x:v>2026-09-20T00:00:00.000Z</x:v>
      </x:c>
      <x:c r="C5" s="2" t="str">
        <x:v>6 сентября вернули 1200 рублей за покупку</x:v>
      </x:c>
    </x:row>
    <x:row r="6" ht="26" customHeight="1">
      <x:c r="A6" s="2" t="str">
        <x:v>N05</x:v>
      </x:c>
      <x:c r="B6" s="7" t="d">
        <x:v>2026-09-20T00:00:00.000Z</x:v>
      </x:c>
      <x:c r="C6" s="2" t="str">
        <x:v>7 сентября получил зарплату 85000</x:v>
      </x:c>
    </x:row>
    <x:row r="7" ht="26" customHeight="1">
      <x:c r="A7" s="2" t="str">
        <x:v>N06</x:v>
      </x:c>
      <x:c r="B7" s="7" t="d">
        <x:v>2026-09-20T00:00:00.000Z</x:v>
      </x:c>
      <x:c r="C7" s="2" t="str">
        <x:v>8 сентября аренда квартиры 30000 руб</x:v>
      </x:c>
    </x:row>
    <x:row r="8" ht="26" customHeight="1">
      <x:c r="A8" s="2" t="str">
        <x:v>N07</x:v>
      </x:c>
      <x:c r="B8" s="7" t="d">
        <x:v>2026-09-20T00:00:00.000Z</x:v>
      </x:c>
      <x:c r="C8" s="2" t="str">
        <x:v>10 сентября кафе 1450</x:v>
      </x:c>
    </x:row>
    <x:row r="9" ht="26" customHeight="1">
      <x:c r="A9" s="2" t="str">
        <x:v>N08</x:v>
      </x:c>
      <x:c r="B9" s="7" t="d">
        <x:v>2026-09-20T00:00:00.000Z</x:v>
      </x:c>
      <x:c r="C9" s="2" t="str">
        <x:v>12 сентября аптека 930 рублей</x:v>
      </x:c>
    </x:row>
    <x:row r="10" ht="26" customHeight="1">
      <x:c r="A10" s="2" t="str">
        <x:v>N09</x:v>
      </x:c>
      <x:c r="B10" s="7" t="d">
        <x:v>2026-09-20T00:00:00.000Z</x:v>
      </x:c>
      <x:c r="C10" s="2" t="str">
        <x:v>15 сентября доставка еды 1790</x:v>
      </x:c>
    </x:row>
    <x:row r="11" ht="26" customHeight="1">
      <x:c r="A11" s="2" t="str">
        <x:v>N10</x:v>
      </x:c>
      <x:c r="B11" s="7" t="d">
        <x:v>2026-09-20T00:00:00.000Z</x:v>
      </x:c>
      <x:c r="C11" s="2" t="str">
        <x:v>Вчера списали 499 рублей за подписку</x:v>
      </x:c>
    </x:row>
    <x:row r="12" ht="26" customHeight="1">
      <x:c r="A12" s="2" t="str">
        <x:v>N11</x:v>
      </x:c>
      <x:c r="B12" s="7" t="d">
        <x:v>2026-09-20T00:00:00.000Z</x:v>
      </x:c>
      <x:c r="C12" s="2" t="str">
        <x:v>18 сентября магазин 3000</x:v>
      </x:c>
    </x:row>
    <x:row r="13" ht="26" customHeight="1">
      <x:c r="A13" s="2" t="str">
        <x:v>N12</x:v>
      </x:c>
      <x:c r="B13" s="7" t="d">
        <x:v>2026-09-20T00:00:00.000Z</x:v>
      </x:c>
      <x:c r="C13" s="2" t="str">
        <x:v>20 сентября обучение 3500 рублей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FF6B00"/>
  </x:sheetPr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65" hidden="0" customWidth="1"/>
    <x:col min="4" max="4" width="32" hidden="0" customWidth="1"/>
    <x:col min="5" max="5" width="18" hidden="0" customWidth="1"/>
    <x:col min="6" max="6" width="25" hidden="0" customWidth="1"/>
    <x:col min="7" max="7" width="38" hidden="0" customWidth="1"/>
  </x:cols>
  <x:sheetData>
    <x:row r="1" ht="34" customHeight="1">
      <x:c r="A1" s="6" t="str">
        <x:v>ID</x:v>
      </x:c>
      <x:c r="B1" s="6" t="str">
        <x:v>Дата</x:v>
      </x:c>
      <x:c r="C1" s="6" t="str">
        <x:v>Исходный текст</x:v>
      </x:c>
      <x:c r="D1" s="6" t="str">
        <x:v>Тип операции</x:v>
      </x:c>
      <x:c r="E1" s="6" t="str">
        <x:v>Сумма, ₽</x:v>
      </x:c>
      <x:c r="F1" s="6" t="str">
        <x:v>Категория</x:v>
      </x:c>
      <x:c r="G1" s="6" t="str">
        <x:v>Нужна проверка</x:v>
      </x:c>
    </x:row>
    <x:row r="2" ht="26" customHeight="1">
      <x:c r="A2" s="2"/>
      <x:c r="B2" s="2"/>
      <x:c r="C2" s="2"/>
      <x:c r="D2" s="2"/>
      <x:c r="E2" s="2"/>
      <x:c r="F2" s="2"/>
      <x:c r="G2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9212B"/>
  </x:sheetPr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65" hidden="0" customWidth="1"/>
    <x:col min="4" max="4" width="32" hidden="0" customWidth="1"/>
    <x:col min="5" max="5" width="18" hidden="0" customWidth="1"/>
    <x:col min="6" max="6" width="25" hidden="0" customWidth="1"/>
    <x:col min="7" max="7" width="38" hidden="0" customWidth="1"/>
  </x:cols>
  <x:sheetData>
    <x:row r="1" ht="34" customHeight="1">
      <x:c r="A1" s="6" t="str">
        <x:v>ID</x:v>
      </x:c>
      <x:c r="B1" s="6" t="str">
        <x:v>Дата</x:v>
      </x:c>
      <x:c r="C1" s="6" t="str">
        <x:v>Исходный текст</x:v>
      </x:c>
      <x:c r="D1" s="6" t="str">
        <x:v>Тип операции</x:v>
      </x:c>
      <x:c r="E1" s="6" t="str">
        <x:v>Сумма, ₽</x:v>
      </x:c>
      <x:c r="F1" s="6" t="str">
        <x:v>Категория</x:v>
      </x:c>
      <x:c r="G1" s="6" t="str">
        <x:v>Нужна проверка</x:v>
      </x:c>
    </x:row>
    <x:row r="2" ht="26" customHeight="1">
      <x:c r="A2" s="2" t="str">
        <x:v>N01</x:v>
      </x:c>
      <x:c r="B2" s="7" t="d">
        <x:v>2026-09-03T00:00:00.000Z</x:v>
      </x:c>
      <x:c r="C2" s="2" t="str">
        <x:v>3 сентября продукты 2450 руб</x:v>
      </x:c>
      <x:c r="D2" s="2" t="str">
        <x:v>расход</x:v>
      </x:c>
      <x:c r="E2" s="8" t="n">
        <x:v>2450</x:v>
      </x:c>
      <x:c r="F2" s="2" t="str">
        <x:v>Продукты</x:v>
      </x:c>
      <x:c r="G2" s="2" t="str">
        <x:v>нет</x:v>
      </x:c>
    </x:row>
    <x:row r="3" ht="26" customHeight="1">
      <x:c r="A3" s="2" t="str">
        <x:v>N02</x:v>
      </x:c>
      <x:c r="B3" s="7" t="d">
        <x:v>2026-09-04T00:00:00.000Z</x:v>
      </x:c>
      <x:c r="C3" s="2" t="str">
        <x:v>04.09 такси 680</x:v>
      </x:c>
      <x:c r="D3" s="2" t="str">
        <x:v>расход</x:v>
      </x:c>
      <x:c r="E3" s="8" t="n">
        <x:v>680</x:v>
      </x:c>
      <x:c r="F3" s="2" t="str">
        <x:v>Транспорт</x:v>
      </x:c>
      <x:c r="G3" s="2" t="str">
        <x:v>нет</x:v>
      </x:c>
    </x:row>
    <x:row r="4" ht="26" customHeight="1">
      <x:c r="A4" s="2" t="str">
        <x:v>N03</x:v>
      </x:c>
      <x:c r="B4" s="7" t="d">
        <x:v>2026-09-05T00:00:00.000Z</x:v>
      </x:c>
      <x:c r="C4" s="2" t="str">
        <x:v>5 сентября перевёл 10 тысяч на свой накопительный счёт</x:v>
      </x:c>
      <x:c r="D4" s="2" t="str">
        <x:v>перевод между своими счетами</x:v>
      </x:c>
      <x:c r="E4" s="8" t="n">
        <x:v>10000</x:v>
      </x:c>
      <x:c r="F4" s="2" t="str">
        <x:v>Перевод</x:v>
      </x:c>
      <x:c r="G4" s="2" t="str">
        <x:v>нет</x:v>
      </x:c>
    </x:row>
    <x:row r="5" ht="26" customHeight="1">
      <x:c r="A5" s="2" t="str">
        <x:v>N04</x:v>
      </x:c>
      <x:c r="B5" s="7" t="d">
        <x:v>2026-09-06T00:00:00.000Z</x:v>
      </x:c>
      <x:c r="C5" s="2" t="str">
        <x:v>6 сентября вернули 1200 рублей за покупку</x:v>
      </x:c>
      <x:c r="D5" s="2" t="str">
        <x:v>возврат покупки</x:v>
      </x:c>
      <x:c r="E5" s="8" t="n">
        <x:v>1200</x:v>
      </x:c>
      <x:c r="F5" s="2" t="str">
        <x:v>Возврат</x:v>
      </x:c>
      <x:c r="G5" s="2" t="str">
        <x:v>нет</x:v>
      </x:c>
    </x:row>
    <x:row r="6" ht="26" customHeight="1">
      <x:c r="A6" s="2" t="str">
        <x:v>N05</x:v>
      </x:c>
      <x:c r="B6" s="7" t="d">
        <x:v>2026-09-07T00:00:00.000Z</x:v>
      </x:c>
      <x:c r="C6" s="2" t="str">
        <x:v>7 сентября получил зарплату 85000</x:v>
      </x:c>
      <x:c r="D6" s="2" t="str">
        <x:v>доход</x:v>
      </x:c>
      <x:c r="E6" s="8" t="n">
        <x:v>85000</x:v>
      </x:c>
      <x:c r="F6" s="2" t="str">
        <x:v>Зарплата</x:v>
      </x:c>
      <x:c r="G6" s="2" t="str">
        <x:v>нет</x:v>
      </x:c>
    </x:row>
    <x:row r="7" ht="26" customHeight="1">
      <x:c r="A7" s="2" t="str">
        <x:v>N06</x:v>
      </x:c>
      <x:c r="B7" s="7" t="d">
        <x:v>2026-09-08T00:00:00.000Z</x:v>
      </x:c>
      <x:c r="C7" s="2" t="str">
        <x:v>8 сентября аренда квартиры 30000 руб</x:v>
      </x:c>
      <x:c r="D7" s="2" t="str">
        <x:v>расход</x:v>
      </x:c>
      <x:c r="E7" s="8" t="n">
        <x:v>30000</x:v>
      </x:c>
      <x:c r="F7" s="2" t="str">
        <x:v>Жильё</x:v>
      </x:c>
      <x:c r="G7" s="2" t="str">
        <x:v>нет</x:v>
      </x:c>
    </x:row>
    <x:row r="8" ht="26" customHeight="1">
      <x:c r="A8" s="2" t="str">
        <x:v>N07</x:v>
      </x:c>
      <x:c r="B8" s="7" t="d">
        <x:v>2026-09-10T00:00:00.000Z</x:v>
      </x:c>
      <x:c r="C8" s="2" t="str">
        <x:v>10 сентября кафе 1450</x:v>
      </x:c>
      <x:c r="D8" s="2" t="str">
        <x:v>расход</x:v>
      </x:c>
      <x:c r="E8" s="8" t="n">
        <x:v>1450</x:v>
      </x:c>
      <x:c r="F8" s="2" t="str">
        <x:v>Кафе</x:v>
      </x:c>
      <x:c r="G8" s="2" t="str">
        <x:v>нет</x:v>
      </x:c>
    </x:row>
    <x:row r="9" ht="26" customHeight="1">
      <x:c r="A9" s="2" t="str">
        <x:v>N08</x:v>
      </x:c>
      <x:c r="B9" s="7" t="d">
        <x:v>2026-09-12T00:00:00.000Z</x:v>
      </x:c>
      <x:c r="C9" s="2" t="str">
        <x:v>12 сентября аптека 930 рублей</x:v>
      </x:c>
      <x:c r="D9" s="2" t="str">
        <x:v>расход</x:v>
      </x:c>
      <x:c r="E9" s="8" t="n">
        <x:v>930</x:v>
      </x:c>
      <x:c r="F9" s="2" t="str">
        <x:v>Здоровье</x:v>
      </x:c>
      <x:c r="G9" s="2" t="str">
        <x:v>нет</x:v>
      </x:c>
    </x:row>
    <x:row r="10" ht="26" customHeight="1">
      <x:c r="A10" s="2" t="str">
        <x:v>N09</x:v>
      </x:c>
      <x:c r="B10" s="7" t="d">
        <x:v>2026-09-15T00:00:00.000Z</x:v>
      </x:c>
      <x:c r="C10" s="2" t="str">
        <x:v>15 сентября доставка еды 1790</x:v>
      </x:c>
      <x:c r="D10" s="2" t="str">
        <x:v>расход</x:v>
      </x:c>
      <x:c r="E10" s="8" t="n">
        <x:v>1790</x:v>
      </x:c>
      <x:c r="F10" s="2" t="str">
        <x:v>Доставка еды</x:v>
      </x:c>
      <x:c r="G10" s="2" t="str">
        <x:v>нет</x:v>
      </x:c>
    </x:row>
    <x:row r="11" ht="26" customHeight="1">
      <x:c r="A11" s="2" t="str">
        <x:v>N10</x:v>
      </x:c>
      <x:c r="B11" s="7" t="d">
        <x:v>2026-09-19T00:00:00.000Z</x:v>
      </x:c>
      <x:c r="C11" s="2" t="str">
        <x:v>Вчера списали 499 рублей за подписку</x:v>
      </x:c>
      <x:c r="D11" s="2" t="str">
        <x:v>расход</x:v>
      </x:c>
      <x:c r="E11" s="8" t="n">
        <x:v>499</x:v>
      </x:c>
      <x:c r="F11" s="2" t="str">
        <x:v>Подписки</x:v>
      </x:c>
      <x:c r="G11" s="2" t="str">
        <x:v>нет</x:v>
      </x:c>
    </x:row>
    <x:row r="12" ht="26" customHeight="1">
      <x:c r="A12" s="2" t="str">
        <x:v>N11</x:v>
      </x:c>
      <x:c r="B12" s="7" t="d">
        <x:v>2026-09-18T00:00:00.000Z</x:v>
      </x:c>
      <x:c r="C12" s="2" t="str">
        <x:v>18 сентября магазин 3000</x:v>
      </x:c>
      <x:c r="D12" s="2" t="str">
        <x:v>расход</x:v>
      </x:c>
      <x:c r="E12" s="8" t="n">
        <x:v>3000</x:v>
      </x:c>
      <x:c r="F12" s="2" t="str">
        <x:v>Не определено</x:v>
      </x:c>
      <x:c r="G12" s="2" t="str">
        <x:v>да: уточнить назначение магазина</x:v>
      </x:c>
    </x:row>
    <x:row r="13" ht="26" customHeight="1">
      <x:c r="A13" s="2" t="str">
        <x:v>N12</x:v>
      </x:c>
      <x:c r="B13" s="7" t="d">
        <x:v>2026-09-20T00:00:00.000Z</x:v>
      </x:c>
      <x:c r="C13" s="2" t="str">
        <x:v>20 сентября обучение 3500 рублей</x:v>
      </x:c>
      <x:c r="D13" s="2" t="str">
        <x:v>расход</x:v>
      </x:c>
      <x:c r="E13" s="8" t="n">
        <x:v>3500</x:v>
      </x:c>
      <x:c r="F13" s="2" t="str">
        <x:v>Обучение</x:v>
      </x:c>
      <x:c r="G13" s="2" t="str">
        <x:v>нет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19212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18" hidden="0" customWidth="1"/>
    <x:col min="5" max="5" width="16" hidden="0" customWidth="1"/>
    <x:col min="6" max="6" width="20" hidden="0" customWidth="1"/>
    <x:col min="7" max="7" width="65" hidden="0" customWidth="1"/>
    <x:col min="8" max="8" width="25" hidden="0" customWidth="1"/>
    <x:col min="9" max="9" width="22" hidden="0" customWidth="1"/>
    <x:col min="10" max="10" width="55" hidden="0" customWidth="1"/>
    <x:col min="11" max="11" width="22" hidden="0" customWidth="1"/>
  </x:cols>
  <x:sheetData>
    <x:row r="1" ht="34" customHeight="1">
      <x:c r="A1" s="6" t="str">
        <x:v>ID</x:v>
      </x:c>
      <x:c r="B1" s="6" t="str">
        <x:v>Дата</x:v>
      </x:c>
      <x:c r="C1" s="6" t="str">
        <x:v>Тема_занятия</x:v>
      </x:c>
      <x:c r="D1" s="6" t="str">
        <x:v>Опыт_ИИ</x:v>
      </x:c>
      <x:c r="E1" s="6" t="str">
        <x:v>Оценка_1_5</x:v>
      </x:c>
      <x:c r="F1" s="6" t="str">
        <x:v>Рекомендую_да_нет</x:v>
      </x:c>
      <x:c r="G1" s="6" t="str">
        <x:v>Комментарий</x:v>
      </x:c>
      <x:c r="H1" s="6" t="str">
        <x:v>Основная тема</x:v>
      </x:c>
      <x:c r="I1" s="6" t="str">
        <x:v>Тональность</x:v>
      </x:c>
      <x:c r="J1" s="6" t="str">
        <x:v>Цитата-основание</x:v>
      </x:c>
      <x:c r="K1" s="6" t="str">
        <x:v>Нужна проверка</x:v>
      </x:c>
    </x:row>
    <x:row r="2" ht="26" customHeight="1">
      <x:c r="A2" s="2" t="str">
        <x:v>R001</x:v>
      </x:c>
      <x:c r="B2" s="7" t="d">
        <x:v>2026-09-01T00:00:00.000Z</x:v>
      </x:c>
      <x:c r="C2" s="2" t="str">
        <x:v>Письма</x:v>
      </x:c>
      <x:c r="D2" s="2" t="str">
        <x:v>с нуля</x:v>
      </x:c>
      <x:c r="E2" s="2" t="n">
        <x:v>5</x:v>
      </x:c>
      <x:c r="F2" s="2" t="str">
        <x:v>да</x:v>
      </x:c>
      <x:c r="G2" s="2" t="str">
        <x:v>Объяснение стало понятным после примера. После работы посмотрел запись. Задание 001.</x:v>
      </x:c>
      <x:c r="H2" s="2"/>
      <x:c r="I2" s="2"/>
      <x:c r="J2" s="2"/>
      <x:c r="K2" s="2"/>
    </x:row>
    <x:row r="3" ht="26" customHeight="1">
      <x:c r="A3" s="2" t="str">
        <x:v>R002</x:v>
      </x:c>
      <x:c r="B3" s="7" t="d">
        <x:v>2026-09-02T00:00:00.000Z</x:v>
      </x:c>
      <x:c r="C3" s="2" t="str">
        <x:v>Презентации</x:v>
      </x:c>
      <x:c r="D3" s="2" t="str">
        <x:v>пробовал</x:v>
      </x:c>
      <x:c r="E3" s="2" t="n">
        <x:v>5</x:v>
      </x:c>
      <x:c r="F3" s="2" t="str">
        <x:v>да</x:v>
      </x:c>
      <x:c r="G3" s="2" t="str">
        <x:v>Успевал повторять действия на экране. После работы посмотрел запись. Задание 002.</x:v>
      </x:c>
      <x:c r="H3" s="2"/>
      <x:c r="I3" s="2"/>
      <x:c r="J3" s="2"/>
      <x:c r="K3" s="2"/>
    </x:row>
    <x:row r="4" ht="26" customHeight="1">
      <x:c r="A4" s="2" t="str">
        <x:v>R003</x:v>
      </x:c>
      <x:c r="B4" s="7" t="d">
        <x:v>2026-09-03T00:00:00.000Z</x:v>
      </x:c>
      <x:c r="C4" s="2" t="str">
        <x:v>Поиск</x:v>
      </x:c>
      <x:c r="D4" s="2" t="str">
        <x:v>использую</x:v>
      </x:c>
      <x:c r="E4" s="2" t="n">
        <x:v>5</x:v>
      </x:c>
      <x:c r="F4" s="2" t="str">
        <x:v>да</x:v>
      </x:c>
      <x:c r="G4" s="2" t="str">
        <x:v>Сам сделал письмо клиенту по образцу. После работы посмотрел запись. Задание 003.</x:v>
      </x:c>
      <x:c r="H4" s="2"/>
      <x:c r="I4" s="2"/>
      <x:c r="J4" s="2"/>
      <x:c r="K4" s="2"/>
    </x:row>
    <x:row r="5" ht="26" customHeight="1">
      <x:c r="A5" s="2" t="str">
        <x:v>R004</x:v>
      </x:c>
      <x:c r="B5" s="7" t="d">
        <x:v>2026-09-04T00:00:00.000Z</x:v>
      </x:c>
      <x:c r="C5" s="2" t="str">
        <x:v>Таблицы</x:v>
      </x:c>
      <x:c r="D5" s="2" t="str">
        <x:v>с нуля</x:v>
      </x:c>
      <x:c r="E5" s="2" t="n">
        <x:v>5</x:v>
      </x:c>
      <x:c r="F5" s="2" t="str">
        <x:v>да</x:v>
      </x:c>
      <x:c r="G5" s="2" t="str">
        <x:v>Получилось войти в сервис и выполнить задание. После работы посмотрел запись. Задание 004.</x:v>
      </x:c>
      <x:c r="H5" s="2"/>
      <x:c r="I5" s="2"/>
      <x:c r="J5" s="2"/>
      <x:c r="K5" s="2"/>
    </x:row>
    <x:row r="6" ht="26" customHeight="1">
      <x:c r="A6" s="2" t="str">
        <x:v>R005</x:v>
      </x:c>
      <x:c r="B6" s="7" t="d">
        <x:v>2026-09-05T00:00:00.000Z</x:v>
      </x:c>
      <x:c r="C6" s="2" t="str">
        <x:v>Письма</x:v>
      </x:c>
      <x:c r="D6" s="2" t="str">
        <x:v>пробовал</x:v>
      </x:c>
      <x:c r="E6" s="2" t="n">
        <x:v>5</x:v>
      </x:c>
      <x:c r="F6" s="2" t="str">
        <x:v>да</x:v>
      </x:c>
      <x:c r="G6" s="2" t="str">
        <x:v>Нашёл подходящий бесплатный инструмент. После работы посмотрел запись. Задание 005.</x:v>
      </x:c>
      <x:c r="H6" s="2"/>
      <x:c r="I6" s="2"/>
      <x:c r="J6" s="2"/>
      <x:c r="K6" s="2"/>
    </x:row>
    <x:row r="7" ht="26" customHeight="1">
      <x:c r="A7" s="2" t="str">
        <x:v>R006</x:v>
      </x:c>
      <x:c r="B7" s="7" t="d">
        <x:v>2026-09-06T00:00:00.000Z</x:v>
      </x:c>
      <x:c r="C7" s="2" t="str">
        <x:v>Презентации</x:v>
      </x:c>
      <x:c r="D7" s="2" t="str">
        <x:v>использую</x:v>
      </x:c>
      <x:c r="E7" s="2" t="n">
        <x:v>5</x:v>
      </x:c>
      <x:c r="F7" s="2" t="str">
        <x:v>да</x:v>
      </x:c>
      <x:c r="G7" s="2" t="str">
        <x:v>Сохранил памятку и повторил по ней шаги. После работы посмотрел запись. Задание 006.</x:v>
      </x:c>
      <x:c r="H7" s="2"/>
      <x:c r="I7" s="2"/>
      <x:c r="J7" s="2"/>
      <x:c r="K7" s="2"/>
    </x:row>
    <x:row r="8" ht="26" customHeight="1">
      <x:c r="A8" s="2" t="str">
        <x:v>R007</x:v>
      </x:c>
      <x:c r="B8" s="7" t="d">
        <x:v>2026-09-07T00:00:00.000Z</x:v>
      </x:c>
      <x:c r="C8" s="2" t="str">
        <x:v>Поиск</x:v>
      </x:c>
      <x:c r="D8" s="2" t="str">
        <x:v>с нуля</x:v>
      </x:c>
      <x:c r="E8" s="2" t="n">
        <x:v>5</x:v>
      </x:c>
      <x:c r="F8" s="2" t="str">
        <x:v>да</x:v>
      </x:c>
      <x:c r="G8" s="2" t="str">
        <x:v>Ссылка пришла вовремя, звук был хороший. После работы посмотрел запись. Задание 007.</x:v>
      </x:c>
      <x:c r="H8" s="2"/>
      <x:c r="I8" s="2"/>
      <x:c r="J8" s="2"/>
      <x:c r="K8" s="2"/>
    </x:row>
    <x:row r="9" ht="26" customHeight="1">
      <x:c r="A9" s="2" t="str">
        <x:v>R008</x:v>
      </x:c>
      <x:c r="B9" s="7" t="d">
        <x:v>2026-09-08T00:00:00.000Z</x:v>
      </x:c>
      <x:c r="C9" s="2" t="str">
        <x:v>Таблицы</x:v>
      </x:c>
      <x:c r="D9" s="2" t="str">
        <x:v>пробовал</x:v>
      </x:c>
      <x:c r="E9" s="2" t="n">
        <x:v>5</x:v>
      </x:c>
      <x:c r="F9" s="2" t="str">
        <x:v>да</x:v>
      </x:c>
      <x:c r="G9" s="2" t="str">
        <x:v>Спасибо за занятие. После работы посмотрел запись. Задание 008.</x:v>
      </x:c>
      <x:c r="H9" s="2"/>
      <x:c r="I9" s="2"/>
      <x:c r="J9" s="2"/>
      <x:c r="K9" s="2"/>
    </x:row>
    <x:row r="10" ht="26" customHeight="1">
      <x:c r="A10" s="2" t="str">
        <x:v>R009</x:v>
      </x:c>
      <x:c r="B10" s="7" t="d">
        <x:v>2026-09-09T00:00:00.000Z</x:v>
      </x:c>
      <x:c r="C10" s="2" t="str">
        <x:v>Письма</x:v>
      </x:c>
      <x:c r="D10" s="2" t="str">
        <x:v>использую</x:v>
      </x:c>
      <x:c r="E10" s="2" t="n">
        <x:v>2</x:v>
      </x:c>
      <x:c r="F10" s="2" t="str">
        <x:v>нет</x:v>
      </x:c>
      <x:c r="G10" s="2" t="str">
        <x:v>Не понял разницу между задачей и запросом. После работы посмотрел запись. Задание 009.</x:v>
      </x:c>
      <x:c r="H10" s="2"/>
      <x:c r="I10" s="2"/>
      <x:c r="J10" s="2"/>
      <x:c r="K10" s="2"/>
    </x:row>
    <x:row r="11" ht="26" customHeight="1">
      <x:c r="A11" s="2" t="str">
        <x:v>R010</x:v>
      </x:c>
      <x:c r="B11" s="7" t="d">
        <x:v>2026-09-10T00:00:00.000Z</x:v>
      </x:c>
      <x:c r="C11" s="2" t="str">
        <x:v>Презентации</x:v>
      </x:c>
      <x:c r="D11" s="2" t="str">
        <x:v>с нуля</x:v>
      </x:c>
      <x:c r="E11" s="2" t="n">
        <x:v>2</x:v>
      </x:c>
      <x:c r="F11" s="2" t="str">
        <x:v>нет</x:v>
      </x:c>
      <x:c r="G11" s="2" t="str">
        <x:v>Слишком быстро переключались между окнами. После работы посмотрел запись. Задание 010.</x:v>
      </x:c>
      <x:c r="H11" s="2"/>
      <x:c r="I11" s="2"/>
      <x:c r="J11" s="2"/>
      <x:c r="K11" s="2"/>
    </x:row>
    <x:row r="12" ht="26" customHeight="1">
      <x:c r="A12" s="2" t="str">
        <x:v>R011</x:v>
      </x:c>
      <x:c r="B12" s="7" t="d">
        <x:v>2026-09-11T00:00:00.000Z</x:v>
      </x:c>
      <x:c r="C12" s="2" t="str">
        <x:v>Поиск</x:v>
      </x:c>
      <x:c r="D12" s="2" t="str">
        <x:v>пробовал</x:v>
      </x:c>
      <x:c r="E12" s="2" t="n">
        <x:v>2</x:v>
      </x:c>
      <x:c r="F12" s="2" t="str">
        <x:v>нет</x:v>
      </x:c>
      <x:c r="G12" s="2" t="str">
        <x:v>Не хватило самостоятельной практики. После работы посмотрел запись. Задание 011.</x:v>
      </x:c>
      <x:c r="H12" s="2"/>
      <x:c r="I12" s="2"/>
      <x:c r="J12" s="2"/>
      <x:c r="K12" s="2"/>
    </x:row>
    <x:row r="13" ht="26" customHeight="1">
      <x:c r="A13" s="2" t="str">
        <x:v>R012</x:v>
      </x:c>
      <x:c r="B13" s="7" t="d">
        <x:v>2026-09-12T00:00:00.000Z</x:v>
      </x:c>
      <x:c r="C13" s="2" t="str">
        <x:v>Таблицы</x:v>
      </x:c>
      <x:c r="D13" s="2" t="str">
        <x:v>использую</x:v>
      </x:c>
      <x:c r="E13" s="2" t="n">
        <x:v>2</x:v>
      </x:c>
      <x:c r="F13" s="2" t="str">
        <x:v>нет</x:v>
      </x:c>
      <x:c r="G13" s="2" t="str">
        <x:v>Не удалось зарегистрироваться в сервисе. После работы посмотрел запись. Задание 012.</x:v>
      </x:c>
      <x:c r="H13" s="2"/>
      <x:c r="I13" s="2"/>
      <x:c r="J13" s="2"/>
      <x:c r="K13" s="2"/>
    </x:row>
    <x:row r="14" ht="26" customHeight="1">
      <x:c r="A14" s="2" t="str">
        <x:v>R013</x:v>
      </x:c>
      <x:c r="B14" s="7" t="d">
        <x:v>2026-09-13T00:00:00.000Z</x:v>
      </x:c>
      <x:c r="C14" s="2" t="str">
        <x:v>Письма</x:v>
      </x:c>
      <x:c r="D14" s="2" t="str">
        <x:v>с нуля</x:v>
      </x:c>
      <x:c r="E14" s="2" t="n">
        <x:v>2</x:v>
      </x:c>
      <x:c r="F14" s="2" t="str">
        <x:v>нет</x:v>
      </x:c>
      <x:c r="G14" s="2" t="str">
        <x:v>Непонятно, какие функции требуют оплаты. После работы посмотрел запись. Задание 013.</x:v>
      </x:c>
      <x:c r="H14" s="2"/>
      <x:c r="I14" s="2"/>
      <x:c r="J14" s="2"/>
      <x:c r="K14" s="2"/>
    </x:row>
    <x:row r="15" ht="26" customHeight="1">
      <x:c r="A15" s="2" t="str">
        <x:v>R014</x:v>
      </x:c>
      <x:c r="B15" s="7" t="d">
        <x:v>2026-09-14T00:00:00.000Z</x:v>
      </x:c>
      <x:c r="C15" s="2" t="str">
        <x:v>Презентации</x:v>
      </x:c>
      <x:c r="D15" s="2" t="str">
        <x:v>пробовал</x:v>
      </x:c>
      <x:c r="E15" s="2" t="n">
        <x:v>2</x:v>
      </x:c>
      <x:c r="F15" s="2" t="str">
        <x:v>нет</x:v>
      </x:c>
      <x:c r="G15" s="2" t="str">
        <x:v>Не нашёл файл с примером после занятия. После работы посмотрел запись. Задание 014.</x:v>
      </x:c>
      <x:c r="H15" s="2"/>
      <x:c r="I15" s="2"/>
      <x:c r="J15" s="2"/>
      <x:c r="K15" s="2"/>
    </x:row>
    <x:row r="16" ht="26" customHeight="1">
      <x:c r="A16" s="2" t="str">
        <x:v>R015</x:v>
      </x:c>
      <x:c r="B16" s="7" t="d">
        <x:v>2026-09-15T00:00:00.000Z</x:v>
      </x:c>
      <x:c r="C16" s="2" t="str">
        <x:v>Поиск</x:v>
      </x:c>
      <x:c r="D16" s="2" t="str">
        <x:v>использую</x:v>
      </x:c>
      <x:c r="E16" s="2" t="n">
        <x:v>2</x:v>
      </x:c>
      <x:c r="F16" s="2" t="str">
        <x:v>нет</x:v>
      </x:c>
      <x:c r="G16" s="2" t="str">
        <x:v>Не было слышно часть объяснения. После работы посмотрел запись. Задание 015.</x:v>
      </x:c>
      <x:c r="H16" s="2"/>
      <x:c r="I16" s="2"/>
      <x:c r="J16" s="2"/>
      <x:c r="K16" s="2"/>
    </x:row>
    <x:row r="17" ht="26" customHeight="1">
      <x:c r="A17" s="2" t="str">
        <x:v>R016</x:v>
      </x:c>
      <x:c r="B17" s="7" t="d">
        <x:v>2026-09-16T00:00:00.000Z</x:v>
      </x:c>
      <x:c r="C17" s="2" t="str">
        <x:v>Таблицы</x:v>
      </x:c>
      <x:c r="D17" s="2" t="str">
        <x:v>с нуля</x:v>
      </x:c>
      <x:c r="E17" s="2" t="n">
        <x:v>3</x:v>
      </x:c>
      <x:c r="F17" s="2" t="str">
        <x:v>нет</x:v>
      </x:c>
      <x:c r="G17" s="2" t="str">
        <x:v>Нормально. После работы посмотрел запись. Задание 016.</x:v>
      </x:c>
      <x:c r="H17" s="2"/>
      <x:c r="I17" s="2"/>
      <x:c r="J17" s="2"/>
      <x:c r="K17" s="2"/>
    </x:row>
    <x:row r="18" ht="26" customHeight="1">
      <x:c r="A18" s="2" t="str">
        <x:v>R017</x:v>
      </x:c>
      <x:c r="B18" s="7" t="d">
        <x:v>2026-09-17T00:00:00.000Z</x:v>
      </x:c>
      <x:c r="C18" s="2" t="str">
        <x:v>Письма</x:v>
      </x:c>
      <x:c r="D18" s="2" t="str">
        <x:v>пробовал</x:v>
      </x:c>
      <x:c r="E18" s="2" t="n">
        <x:v>3</x:v>
      </x:c>
      <x:c r="F18" s="2" t="str">
        <x:v>нет</x:v>
      </x:c>
      <x:c r="G18" s="2" t="str">
        <x:v>Термины объяснили понятно, но часть шагов осталась неясной. После работы посмотрел запись. Задание 017.</x:v>
      </x:c>
      <x:c r="H18" s="2"/>
      <x:c r="I18" s="2"/>
      <x:c r="J18" s="2"/>
      <x:c r="K18" s="2"/>
    </x:row>
    <x:row r="19" ht="26" customHeight="1">
      <x:c r="A19" s="2" t="str">
        <x:v>R018</x:v>
      </x:c>
      <x:c r="B19" s="7" t="d">
        <x:v>2026-09-18T00:00:00.000Z</x:v>
      </x:c>
      <x:c r="C19" s="2" t="str">
        <x:v>Презентации</x:v>
      </x:c>
      <x:c r="D19" s="2" t="str">
        <x:v>использую</x:v>
      </x:c>
      <x:c r="E19" s="2" t="n">
        <x:v>3</x:v>
      </x:c>
      <x:c r="F19" s="2" t="str">
        <x:v>нет</x:v>
      </x:c>
      <x:c r="G19" s="2" t="str">
        <x:v>Начало шло спокойно, а конец был слишком быстрым. После работы посмотрел запись. Задание 018.</x:v>
      </x:c>
      <x:c r="H19" s="2"/>
      <x:c r="I19" s="2"/>
      <x:c r="J19" s="2"/>
      <x:c r="K19" s="2"/>
    </x:row>
    <x:row r="20" ht="26" customHeight="1">
      <x:c r="A20" s="2" t="str">
        <x:v>R019</x:v>
      </x:c>
      <x:c r="B20" s="7" t="d">
        <x:v>2026-09-19T00:00:00.000Z</x:v>
      </x:c>
      <x:c r="C20" s="2" t="str">
        <x:v>Поиск</x:v>
      </x:c>
      <x:c r="D20" s="2" t="str">
        <x:v>с нуля</x:v>
      </x:c>
      <x:c r="E20" s="2" t="n">
        <x:v>4</x:v>
      </x:c>
      <x:c r="F20" s="2" t="str">
        <x:v>да</x:v>
      </x:c>
      <x:c r="G20" s="2" t="str">
        <x:v>Примеры полезные, но хочу задание для своей работы. После работы посмотрел запись. Задание 019.</x:v>
      </x:c>
      <x:c r="H20" s="2"/>
      <x:c r="I20" s="2"/>
      <x:c r="J20" s="2"/>
      <x:c r="K20" s="2"/>
    </x:row>
    <x:row r="21" ht="26" customHeight="1">
      <x:c r="A21" s="2" t="str">
        <x:v>R020</x:v>
      </x:c>
      <x:c r="B21" s="7" t="d">
        <x:v>2026-09-20T00:00:00.000Z</x:v>
      </x:c>
      <x:c r="C21" s="2" t="str">
        <x:v>Таблицы</x:v>
      </x:c>
      <x:c r="D21" s="2" t="str">
        <x:v>пробовал</x:v>
      </x:c>
      <x:c r="E21" s="2" t="n">
        <x:v>4</x:v>
      </x:c>
      <x:c r="F21" s="2" t="str">
        <x:v>да</x:v>
      </x:c>
      <x:c r="G21" s="2" t="str">
        <x:v>Сначала не смог войти, потом помог резервный способ. После работы посмотрел запись. Задание 020.</x:v>
      </x:c>
      <x:c r="H21" s="2"/>
      <x:c r="I21" s="2"/>
      <x:c r="J21" s="2"/>
      <x:c r="K21" s="2"/>
    </x:row>
    <x:row r="22" ht="26" customHeight="1">
      <x:c r="A22" s="2" t="str">
        <x:v>R021</x:v>
      </x:c>
      <x:c r="B22" s="7" t="d">
        <x:v>2026-09-21T00:00:00.000Z</x:v>
      </x:c>
      <x:c r="C22" s="2" t="str">
        <x:v>Письма</x:v>
      </x:c>
      <x:c r="D22" s="2" t="str">
        <x:v>использую</x:v>
      </x:c>
      <x:c r="E22" s="2" t="n">
        <x:v>3</x:v>
      </x:c>
      <x:c r="F22" s="2" t="str">
        <x:v>нет</x:v>
      </x:c>
      <x:c r="G22" s="2" t="str">
        <x:v>Бесплатного режима хватило для примера, но дальше есть ограничения. После работы посмотрел запись. Задание 021.</x:v>
      </x:c>
      <x:c r="H22" s="2"/>
      <x:c r="I22" s="2"/>
      <x:c r="J22" s="2"/>
      <x:c r="K22" s="2"/>
    </x:row>
    <x:row r="23" ht="26" customHeight="1">
      <x:c r="A23" s="2" t="str">
        <x:v>R022</x:v>
      </x:c>
      <x:c r="B23" s="7" t="d">
        <x:v>2026-09-22T00:00:00.000Z</x:v>
      </x:c>
      <x:c r="C23" s="2" t="str">
        <x:v>Презентации</x:v>
      </x:c>
      <x:c r="D23" s="2" t="str">
        <x:v>с нуля</x:v>
      </x:c>
      <x:c r="E23" s="2" t="n">
        <x:v>4</x:v>
      </x:c>
      <x:c r="F23" s="2" t="str">
        <x:v>да</x:v>
      </x:c>
      <x:c r="G23" s="2" t="str">
        <x:v>Запись полезная, хотелось бы добавить таймкоды. После работы посмотрел запись. Задание 022.</x:v>
      </x:c>
      <x:c r="H23" s="2"/>
      <x:c r="I23" s="2"/>
      <x:c r="J23" s="2"/>
      <x:c r="K23" s="2"/>
    </x:row>
    <x:row r="24" ht="26" customHeight="1">
      <x:c r="A24" s="2" t="str">
        <x:v>R023</x:v>
      </x:c>
      <x:c r="B24" s="7" t="d">
        <x:v>2026-09-23T00:00:00.000Z</x:v>
      </x:c>
      <x:c r="C24" s="2" t="str">
        <x:v>Поиск</x:v>
      </x:c>
      <x:c r="D24" s="2" t="str">
        <x:v>пробовал</x:v>
      </x:c>
      <x:c r="E24" s="2" t="n">
        <x:v>3</x:v>
      </x:c>
      <x:c r="F24" s="2" t="str">
        <x:v>нет</x:v>
      </x:c>
      <x:c r="G24" s="2" t="str">
        <x:v>Подключился легко, но вопросы в чате остались без ответа. После работы посмотрел запись. Задание 023.</x:v>
      </x:c>
      <x:c r="H24" s="2"/>
      <x:c r="I24" s="2"/>
      <x:c r="J24" s="2"/>
      <x:c r="K24" s="2"/>
    </x:row>
    <x:row r="25" ht="26" customHeight="1">
      <x:c r="A25" s="2" t="str">
        <x:v>R024</x:v>
      </x:c>
      <x:c r="B25" s="7" t="d">
        <x:v>2026-09-24T00:00:00.000Z</x:v>
      </x:c>
      <x:c r="C25" s="2" t="str">
        <x:v>Таблицы</x:v>
      </x:c>
      <x:c r="D25" s="2" t="str">
        <x:v>использую</x:v>
      </x:c>
      <x:c r="E25" s="2" t="n">
        <x:v>3</x:v>
      </x:c>
      <x:c r="F25" s="2" t="str">
        <x:v>нет</x:v>
      </x:c>
      <x:c r="G25" s="2" t="str">
        <x:v>Пока не решил, где буду это применять. После работы посмотрел запись. Задание 024.</x:v>
      </x:c>
      <x:c r="H25" s="2"/>
      <x:c r="I25" s="2"/>
      <x:c r="J25" s="2"/>
      <x:c r="K25" s="2"/>
    </x:row>
    <x:row r="26" ht="26" customHeight="1">
      <x:c r="A26" s="2" t="str">
        <x:v>R025</x:v>
      </x:c>
      <x:c r="B26" s="7" t="d">
        <x:v>2026-09-25T00:00:00.000Z</x:v>
      </x:c>
      <x:c r="C26" s="2" t="str">
        <x:v>Письма</x:v>
      </x:c>
      <x:c r="D26" s="2" t="str">
        <x:v>с нуля</x:v>
      </x:c>
      <x:c r="E26" s="2" t="n">
        <x:v>5</x:v>
      </x:c>
      <x:c r="F26" s="2" t="str">
        <x:v>да</x:v>
      </x:c>
      <x:c r="G26" s="2" t="str">
        <x:v>Объяснение стало понятным после примера. Проверял на своём ноутбуке. Задание 025.</x:v>
      </x:c>
      <x:c r="H26" s="2"/>
      <x:c r="I26" s="2"/>
      <x:c r="J26" s="2"/>
      <x:c r="K26" s="2"/>
    </x:row>
    <x:row r="27" ht="26" customHeight="1">
      <x:c r="A27" s="2" t="str">
        <x:v>R026</x:v>
      </x:c>
      <x:c r="B27" s="7" t="d">
        <x:v>2026-09-26T00:00:00.000Z</x:v>
      </x:c>
      <x:c r="C27" s="2" t="str">
        <x:v>Презентации</x:v>
      </x:c>
      <x:c r="D27" s="2" t="str">
        <x:v>пробовал</x:v>
      </x:c>
      <x:c r="E27" s="2" t="n">
        <x:v>5</x:v>
      </x:c>
      <x:c r="F27" s="2" t="str">
        <x:v>да</x:v>
      </x:c>
      <x:c r="G27" s="2" t="str">
        <x:v>Успевал повторять действия на экране. Проверял на своём ноутбуке. Задание 026.</x:v>
      </x:c>
      <x:c r="H27" s="2"/>
      <x:c r="I27" s="2"/>
      <x:c r="J27" s="2"/>
      <x:c r="K27" s="2"/>
    </x:row>
    <x:row r="28" ht="26" customHeight="1">
      <x:c r="A28" s="2" t="str">
        <x:v>R027</x:v>
      </x:c>
      <x:c r="B28" s="7" t="d">
        <x:v>2026-09-27T00:00:00.000Z</x:v>
      </x:c>
      <x:c r="C28" s="2" t="str">
        <x:v>Поиск</x:v>
      </x:c>
      <x:c r="D28" s="2" t="str">
        <x:v>использую</x:v>
      </x:c>
      <x:c r="E28" s="2" t="n">
        <x:v>5</x:v>
      </x:c>
      <x:c r="F28" s="2" t="str">
        <x:v>да</x:v>
      </x:c>
      <x:c r="G28" s="2" t="str">
        <x:v>Сам сделал письмо клиенту по образцу. Проверял на своём ноутбуке. Задание 027.</x:v>
      </x:c>
      <x:c r="H28" s="2"/>
      <x:c r="I28" s="2"/>
      <x:c r="J28" s="2"/>
      <x:c r="K28" s="2"/>
    </x:row>
    <x:row r="29" ht="26" customHeight="1">
      <x:c r="A29" s="2" t="str">
        <x:v>R028</x:v>
      </x:c>
      <x:c r="B29" s="7" t="d">
        <x:v>2026-09-28T00:00:00.000Z</x:v>
      </x:c>
      <x:c r="C29" s="2" t="str">
        <x:v>Таблицы</x:v>
      </x:c>
      <x:c r="D29" s="2" t="str">
        <x:v>с нуля</x:v>
      </x:c>
      <x:c r="E29" s="2" t="n">
        <x:v>5</x:v>
      </x:c>
      <x:c r="F29" s="2" t="str">
        <x:v>да</x:v>
      </x:c>
      <x:c r="G29" s="2" t="str">
        <x:v>Получилось войти в сервис и выполнить задание. Проверял на своём ноутбуке. Задание 028.</x:v>
      </x:c>
      <x:c r="H29" s="2"/>
      <x:c r="I29" s="2"/>
      <x:c r="J29" s="2"/>
      <x:c r="K29" s="2"/>
    </x:row>
    <x:row r="30" ht="26" customHeight="1">
      <x:c r="A30" s="2" t="str">
        <x:v>R029</x:v>
      </x:c>
      <x:c r="B30" s="7" t="d">
        <x:v>2026-09-01T00:00:00.000Z</x:v>
      </x:c>
      <x:c r="C30" s="2" t="str">
        <x:v>Письма</x:v>
      </x:c>
      <x:c r="D30" s="2" t="str">
        <x:v>пробовал</x:v>
      </x:c>
      <x:c r="E30" s="2" t="n">
        <x:v>5</x:v>
      </x:c>
      <x:c r="F30" s="2" t="str">
        <x:v>да</x:v>
      </x:c>
      <x:c r="G30" s="2" t="str">
        <x:v>Нашёл подходящий бесплатный инструмент. Проверял на своём ноутбуке. Задание 029.</x:v>
      </x:c>
      <x:c r="H30" s="2"/>
      <x:c r="I30" s="2"/>
      <x:c r="J30" s="2"/>
      <x:c r="K30" s="2"/>
    </x:row>
    <x:row r="31" ht="26" customHeight="1">
      <x:c r="A31" s="2" t="str">
        <x:v>R030</x:v>
      </x:c>
      <x:c r="B31" s="7" t="d">
        <x:v>2026-09-02T00:00:00.000Z</x:v>
      </x:c>
      <x:c r="C31" s="2" t="str">
        <x:v>Презентации</x:v>
      </x:c>
      <x:c r="D31" s="2" t="str">
        <x:v>использую</x:v>
      </x:c>
      <x:c r="E31" s="2" t="n">
        <x:v>5</x:v>
      </x:c>
      <x:c r="F31" s="2" t="str">
        <x:v>да</x:v>
      </x:c>
      <x:c r="G31" s="2" t="str">
        <x:v>Сохранил памятку и повторил по ней шаги. Проверял на своём ноутбуке. Задание 030.</x:v>
      </x:c>
      <x:c r="H31" s="2"/>
      <x:c r="I31" s="2"/>
      <x:c r="J31" s="2"/>
      <x:c r="K31" s="2"/>
    </x:row>
    <x:row r="32" ht="26" customHeight="1">
      <x:c r="A32" s="2" t="str">
        <x:v>R031</x:v>
      </x:c>
      <x:c r="B32" s="7" t="d">
        <x:v>2026-09-03T00:00:00.000Z</x:v>
      </x:c>
      <x:c r="C32" s="2" t="str">
        <x:v>Поиск</x:v>
      </x:c>
      <x:c r="D32" s="2" t="str">
        <x:v>с нуля</x:v>
      </x:c>
      <x:c r="E32" s="2" t="n">
        <x:v>5</x:v>
      </x:c>
      <x:c r="F32" s="2"/>
      <x:c r="G32" s="2" t="str">
        <x:v>Ссылка пришла вовремя, звук был хороший. Проверял на своём ноутбуке. Задание 031.</x:v>
      </x:c>
      <x:c r="H32" s="2"/>
      <x:c r="I32" s="2"/>
      <x:c r="J32" s="2"/>
      <x:c r="K32" s="2"/>
    </x:row>
    <x:row r="33" ht="26" customHeight="1">
      <x:c r="A33" s="2" t="str">
        <x:v>R032</x:v>
      </x:c>
      <x:c r="B33" s="7" t="d">
        <x:v>2026-09-04T00:00:00.000Z</x:v>
      </x:c>
      <x:c r="C33" s="2" t="str">
        <x:v>Таблицы</x:v>
      </x:c>
      <x:c r="D33" s="2" t="str">
        <x:v>пробовал</x:v>
      </x:c>
      <x:c r="E33" s="2" t="n">
        <x:v>5</x:v>
      </x:c>
      <x:c r="F33" s="2" t="str">
        <x:v>да</x:v>
      </x:c>
      <x:c r="G33" s="2" t="str">
        <x:v>Спасибо за занятие. Проверял на своём ноутбуке. Задание 032.</x:v>
      </x:c>
      <x:c r="H33" s="2"/>
      <x:c r="I33" s="2"/>
      <x:c r="J33" s="2"/>
      <x:c r="K33" s="2"/>
    </x:row>
    <x:row r="34" ht="26" customHeight="1">
      <x:c r="A34" s="2" t="str">
        <x:v>R033</x:v>
      </x:c>
      <x:c r="B34" s="7" t="d">
        <x:v>2026-09-05T00:00:00.000Z</x:v>
      </x:c>
      <x:c r="C34" s="2" t="str">
        <x:v>Письма</x:v>
      </x:c>
      <x:c r="D34" s="2" t="str">
        <x:v>использую</x:v>
      </x:c>
      <x:c r="E34" s="2" t="n">
        <x:v>2</x:v>
      </x:c>
      <x:c r="F34" s="2" t="str">
        <x:v>нет</x:v>
      </x:c>
      <x:c r="G34" s="2" t="str">
        <x:v>Не понял разницу между задачей и запросом. Проверял на своём ноутбуке. Задание 033.</x:v>
      </x:c>
      <x:c r="H34" s="2"/>
      <x:c r="I34" s="2"/>
      <x:c r="J34" s="2"/>
      <x:c r="K34" s="2"/>
    </x:row>
    <x:row r="35" ht="26" customHeight="1">
      <x:c r="A35" s="2" t="str">
        <x:v>R034</x:v>
      </x:c>
      <x:c r="B35" s="7" t="d">
        <x:v>2026-09-06T00:00:00.000Z</x:v>
      </x:c>
      <x:c r="C35" s="2" t="str">
        <x:v>Презентации</x:v>
      </x:c>
      <x:c r="D35" s="2" t="str">
        <x:v>с нуля</x:v>
      </x:c>
      <x:c r="E35" s="2" t="n">
        <x:v>2</x:v>
      </x:c>
      <x:c r="F35" s="2" t="str">
        <x:v>нет</x:v>
      </x:c>
      <x:c r="G35" s="2" t="str">
        <x:v>Слишком быстро переключались между окнами. Проверял на своём ноутбуке. Задание 034.</x:v>
      </x:c>
      <x:c r="H35" s="2"/>
      <x:c r="I35" s="2"/>
      <x:c r="J35" s="2"/>
      <x:c r="K35" s="2"/>
    </x:row>
    <x:row r="36" ht="26" customHeight="1">
      <x:c r="A36" s="2" t="str">
        <x:v>R035</x:v>
      </x:c>
      <x:c r="B36" s="7" t="d">
        <x:v>2026-09-07T00:00:00.000Z</x:v>
      </x:c>
      <x:c r="C36" s="2" t="str">
        <x:v>Поиск</x:v>
      </x:c>
      <x:c r="D36" s="2" t="str">
        <x:v>пробовал</x:v>
      </x:c>
      <x:c r="E36" s="2" t="n">
        <x:v>2</x:v>
      </x:c>
      <x:c r="F36" s="2" t="str">
        <x:v>нет</x:v>
      </x:c>
      <x:c r="G36" s="2" t="str">
        <x:v>Не хватило самостоятельной практики. Проверял на своём ноутбуке. Задание 035.</x:v>
      </x:c>
      <x:c r="H36" s="2"/>
      <x:c r="I36" s="2"/>
      <x:c r="J36" s="2"/>
      <x:c r="K36" s="2"/>
    </x:row>
    <x:row r="37" ht="26" customHeight="1">
      <x:c r="A37" s="2" t="str">
        <x:v>R036</x:v>
      </x:c>
      <x:c r="B37" s="7" t="d">
        <x:v>2026-09-08T00:00:00.000Z</x:v>
      </x:c>
      <x:c r="C37" s="2" t="str">
        <x:v>Таблицы</x:v>
      </x:c>
      <x:c r="D37" s="2" t="str">
        <x:v>использую</x:v>
      </x:c>
      <x:c r="E37" s="2" t="n">
        <x:v>2</x:v>
      </x:c>
      <x:c r="F37" s="2" t="str">
        <x:v>нет</x:v>
      </x:c>
      <x:c r="G37" s="2" t="str">
        <x:v>Не удалось зарегистрироваться в сервисе. Проверял на своём ноутбуке. Задание 036.</x:v>
      </x:c>
      <x:c r="H37" s="2"/>
      <x:c r="I37" s="2"/>
      <x:c r="J37" s="2"/>
      <x:c r="K37" s="2"/>
    </x:row>
    <x:row r="38" ht="26" customHeight="1">
      <x:c r="A38" s="2" t="str">
        <x:v>R037</x:v>
      </x:c>
      <x:c r="B38" s="7" t="d">
        <x:v>2026-09-09T00:00:00.000Z</x:v>
      </x:c>
      <x:c r="C38" s="2" t="str">
        <x:v>Письма</x:v>
      </x:c>
      <x:c r="D38" s="2" t="str">
        <x:v>с нуля</x:v>
      </x:c>
      <x:c r="E38" s="2" t="n">
        <x:v>2</x:v>
      </x:c>
      <x:c r="F38" s="2" t="str">
        <x:v>нет</x:v>
      </x:c>
      <x:c r="G38" s="2" t="str">
        <x:v>Непонятно, какие функции требуют оплаты. Проверял на своём ноутбуке. Задание 037.</x:v>
      </x:c>
      <x:c r="H38" s="2"/>
      <x:c r="I38" s="2"/>
      <x:c r="J38" s="2"/>
      <x:c r="K38" s="2"/>
    </x:row>
    <x:row r="39" ht="26" customHeight="1">
      <x:c r="A39" s="2" t="str">
        <x:v>R038</x:v>
      </x:c>
      <x:c r="B39" s="7" t="d">
        <x:v>2026-09-10T00:00:00.000Z</x:v>
      </x:c>
      <x:c r="C39" s="2" t="str">
        <x:v>Презентации</x:v>
      </x:c>
      <x:c r="D39" s="2" t="str">
        <x:v>пробовал</x:v>
      </x:c>
      <x:c r="E39" s="2" t="n">
        <x:v>2</x:v>
      </x:c>
      <x:c r="F39" s="2" t="str">
        <x:v>нет</x:v>
      </x:c>
      <x:c r="G39" s="2" t="str">
        <x:v>Не нашёл файл с примером после занятия. Проверял на своём ноутбуке. Задание 038.</x:v>
      </x:c>
      <x:c r="H39" s="2"/>
      <x:c r="I39" s="2"/>
      <x:c r="J39" s="2"/>
      <x:c r="K39" s="2"/>
    </x:row>
    <x:row r="40" ht="26" customHeight="1">
      <x:c r="A40" s="2" t="str">
        <x:v>R039</x:v>
      </x:c>
      <x:c r="B40" s="7" t="d">
        <x:v>2026-09-11T00:00:00.000Z</x:v>
      </x:c>
      <x:c r="C40" s="2" t="str">
        <x:v>Поиск</x:v>
      </x:c>
      <x:c r="D40" s="2" t="str">
        <x:v>использую</x:v>
      </x:c>
      <x:c r="E40" s="2" t="n">
        <x:v>2</x:v>
      </x:c>
      <x:c r="F40" s="2" t="str">
        <x:v>нет</x:v>
      </x:c>
      <x:c r="G40" s="2" t="str">
        <x:v>Не было слышно часть объяснения. Проверял на своём ноутбуке. Задание 039.</x:v>
      </x:c>
      <x:c r="H40" s="2"/>
      <x:c r="I40" s="2"/>
      <x:c r="J40" s="2"/>
      <x:c r="K40" s="2"/>
    </x:row>
    <x:row r="41" ht="26" customHeight="1">
      <x:c r="A41" s="2" t="str">
        <x:v>R040</x:v>
      </x:c>
      <x:c r="B41" s="7" t="d">
        <x:v>2026-09-12T00:00:00.000Z</x:v>
      </x:c>
      <x:c r="C41" s="2" t="str">
        <x:v>Таблицы</x:v>
      </x:c>
      <x:c r="D41" s="2" t="str">
        <x:v>с нуля</x:v>
      </x:c>
      <x:c r="E41" s="2" t="n">
        <x:v>3</x:v>
      </x:c>
      <x:c r="F41" s="2" t="str">
        <x:v>нет</x:v>
      </x:c>
      <x:c r="G41" s="2" t="str">
        <x:v>Нормально. Проверял на своём ноутбуке. Задание 040.</x:v>
      </x:c>
      <x:c r="H41" s="2"/>
      <x:c r="I41" s="2"/>
      <x:c r="J41" s="2"/>
      <x:c r="K41" s="2"/>
    </x:row>
    <x:row r="42" ht="26" customHeight="1">
      <x:c r="A42" s="2" t="str">
        <x:v>R041</x:v>
      </x:c>
      <x:c r="B42" s="7" t="d">
        <x:v>2026-09-13T00:00:00.000Z</x:v>
      </x:c>
      <x:c r="C42" s="2" t="str">
        <x:v>Письма</x:v>
      </x:c>
      <x:c r="D42" s="2" t="str">
        <x:v>пробовал</x:v>
      </x:c>
      <x:c r="E42" s="2" t="n">
        <x:v>3</x:v>
      </x:c>
      <x:c r="F42" s="2" t="str">
        <x:v>нет</x:v>
      </x:c>
      <x:c r="G42" s="2" t="str">
        <x:v>Термины объяснили понятно, но часть шагов осталась неясной. Проверял на своём ноутбуке. Задание 041.</x:v>
      </x:c>
      <x:c r="H42" s="2"/>
      <x:c r="I42" s="2"/>
      <x:c r="J42" s="2"/>
      <x:c r="K42" s="2"/>
    </x:row>
    <x:row r="43" ht="26" customHeight="1">
      <x:c r="A43" s="2" t="str">
        <x:v>R042</x:v>
      </x:c>
      <x:c r="B43" s="7" t="d">
        <x:v>2026-09-14T00:00:00.000Z</x:v>
      </x:c>
      <x:c r="C43" s="2" t="str">
        <x:v>Презентации</x:v>
      </x:c>
      <x:c r="D43" s="2" t="str">
        <x:v>использую</x:v>
      </x:c>
      <x:c r="E43" s="2" t="n">
        <x:v>3</x:v>
      </x:c>
      <x:c r="F43" s="2" t="str">
        <x:v>нет</x:v>
      </x:c>
      <x:c r="G43" s="2" t="str">
        <x:v>Начало шло спокойно, а конец был слишком быстрым. Проверял на своём ноутбуке. Задание 042.</x:v>
      </x:c>
      <x:c r="H43" s="2"/>
      <x:c r="I43" s="2"/>
      <x:c r="J43" s="2"/>
      <x:c r="K43" s="2"/>
    </x:row>
    <x:row r="44" ht="26" customHeight="1">
      <x:c r="A44" s="2" t="str">
        <x:v>R043</x:v>
      </x:c>
      <x:c r="B44" s="7" t="d">
        <x:v>2026-09-15T00:00:00.000Z</x:v>
      </x:c>
      <x:c r="C44" s="2" t="str">
        <x:v>Поиск</x:v>
      </x:c>
      <x:c r="D44" s="2" t="str">
        <x:v>с нуля</x:v>
      </x:c>
      <x:c r="E44" s="2" t="n">
        <x:v>4</x:v>
      </x:c>
      <x:c r="F44" s="2" t="str">
        <x:v>да</x:v>
      </x:c>
      <x:c r="G44" s="2" t="str">
        <x:v>Примеры полезные, но хочу задание для своей работы. Проверял на своём ноутбуке. Задание 043.</x:v>
      </x:c>
      <x:c r="H44" s="2"/>
      <x:c r="I44" s="2"/>
      <x:c r="J44" s="2"/>
      <x:c r="K44" s="2"/>
    </x:row>
    <x:row r="45" ht="26" customHeight="1">
      <x:c r="A45" s="2" t="str">
        <x:v>R044</x:v>
      </x:c>
      <x:c r="B45" s="7" t="d">
        <x:v>2026-09-16T00:00:00.000Z</x:v>
      </x:c>
      <x:c r="C45" s="2" t="str">
        <x:v>Таблицы</x:v>
      </x:c>
      <x:c r="D45" s="2" t="str">
        <x:v>пробовал</x:v>
      </x:c>
      <x:c r="E45" s="2" t="n">
        <x:v>4</x:v>
      </x:c>
      <x:c r="F45" s="2" t="str">
        <x:v>да</x:v>
      </x:c>
      <x:c r="G45" s="2" t="str">
        <x:v>Сначала не смог войти, потом помог резервный способ. Проверял на своём ноутбуке. Задание 044.</x:v>
      </x:c>
      <x:c r="H45" s="2"/>
      <x:c r="I45" s="2"/>
      <x:c r="J45" s="2"/>
      <x:c r="K45" s="2"/>
    </x:row>
    <x:row r="46" ht="26" customHeight="1">
      <x:c r="A46" s="2" t="str">
        <x:v>R045</x:v>
      </x:c>
      <x:c r="B46" s="7" t="d">
        <x:v>2026-09-17T00:00:00.000Z</x:v>
      </x:c>
      <x:c r="C46" s="2" t="str">
        <x:v>Письма</x:v>
      </x:c>
      <x:c r="D46" s="2" t="str">
        <x:v>использую</x:v>
      </x:c>
      <x:c r="E46" s="2" t="n">
        <x:v>3</x:v>
      </x:c>
      <x:c r="F46" s="2" t="str">
        <x:v>нет</x:v>
      </x:c>
      <x:c r="G46" s="2" t="str">
        <x:v>Бесплатного режима хватило для примера, но дальше есть ограничения. Проверял на своём ноутбуке. Задание 045.</x:v>
      </x:c>
      <x:c r="H46" s="2"/>
      <x:c r="I46" s="2"/>
      <x:c r="J46" s="2"/>
      <x:c r="K46" s="2"/>
    </x:row>
    <x:row r="47" ht="26" customHeight="1">
      <x:c r="A47" s="2" t="str">
        <x:v>R046</x:v>
      </x:c>
      <x:c r="B47" s="7" t="d">
        <x:v>2026-09-18T00:00:00.000Z</x:v>
      </x:c>
      <x:c r="C47" s="2" t="str">
        <x:v>Презентации</x:v>
      </x:c>
      <x:c r="D47" s="2" t="str">
        <x:v>с нуля</x:v>
      </x:c>
      <x:c r="E47" s="2" t="n">
        <x:v>4</x:v>
      </x:c>
      <x:c r="F47" s="2" t="str">
        <x:v>да</x:v>
      </x:c>
      <x:c r="G47" s="2" t="str">
        <x:v>Запись полезная, хотелось бы добавить таймкоды. Проверял на своём ноутбуке. Задание 046.</x:v>
      </x:c>
      <x:c r="H47" s="2"/>
      <x:c r="I47" s="2"/>
      <x:c r="J47" s="2"/>
      <x:c r="K47" s="2"/>
    </x:row>
    <x:row r="48" ht="26" customHeight="1">
      <x:c r="A48" s="2" t="str">
        <x:v>R047</x:v>
      </x:c>
      <x:c r="B48" s="7" t="d">
        <x:v>2026-09-19T00:00:00.000Z</x:v>
      </x:c>
      <x:c r="C48" s="2" t="str">
        <x:v>Поиск</x:v>
      </x:c>
      <x:c r="D48" s="2" t="str">
        <x:v>пробовал</x:v>
      </x:c>
      <x:c r="E48" s="2" t="n">
        <x:v>3</x:v>
      </x:c>
      <x:c r="F48" s="2" t="str">
        <x:v>нет</x:v>
      </x:c>
      <x:c r="G48" s="2" t="str">
        <x:v>Подключился легко, но вопросы в чате остались без ответа. Проверял на своём ноутбуке. Задание 047.</x:v>
      </x:c>
      <x:c r="H48" s="2"/>
      <x:c r="I48" s="2"/>
      <x:c r="J48" s="2"/>
      <x:c r="K48" s="2"/>
    </x:row>
    <x:row r="49" ht="26" customHeight="1">
      <x:c r="A49" s="2" t="str">
        <x:v>R048</x:v>
      </x:c>
      <x:c r="B49" s="7" t="d">
        <x:v>2026-09-20T00:00:00.000Z</x:v>
      </x:c>
      <x:c r="C49" s="2" t="str">
        <x:v>Таблицы</x:v>
      </x:c>
      <x:c r="D49" s="2" t="str">
        <x:v>использую</x:v>
      </x:c>
      <x:c r="E49" s="2" t="n">
        <x:v>3</x:v>
      </x:c>
      <x:c r="F49" s="2" t="str">
        <x:v>нет</x:v>
      </x:c>
      <x:c r="G49" s="2" t="str">
        <x:v>Пока не решил, где буду это применять. Проверял на своём ноутбуке. Задание 048.</x:v>
      </x:c>
      <x:c r="H49" s="2"/>
      <x:c r="I49" s="2"/>
      <x:c r="J49" s="2"/>
      <x:c r="K49" s="2"/>
    </x:row>
    <x:row r="50" ht="26" customHeight="1">
      <x:c r="A50" s="2" t="str">
        <x:v>R049</x:v>
      </x:c>
      <x:c r="B50" s="7" t="d">
        <x:v>2026-09-21T00:00:00.000Z</x:v>
      </x:c>
      <x:c r="C50" s="2" t="str">
        <x:v>Письма</x:v>
      </x:c>
      <x:c r="D50" s="2" t="str">
        <x:v>с нуля</x:v>
      </x:c>
      <x:c r="E50" s="2" t="n">
        <x:v>5</x:v>
      </x:c>
      <x:c r="F50" s="2" t="str">
        <x:v>да</x:v>
      </x:c>
      <x:c r="G50" s="2" t="str">
        <x:v>Объяснение стало понятным после примера. Занимался вечером. Задание 049.</x:v>
      </x:c>
      <x:c r="H50" s="2"/>
      <x:c r="I50" s="2"/>
      <x:c r="J50" s="2"/>
      <x:c r="K50" s="2"/>
    </x:row>
    <x:row r="51" ht="26" customHeight="1">
      <x:c r="A51" s="2" t="str">
        <x:v>R050</x:v>
      </x:c>
      <x:c r="B51" s="7" t="d">
        <x:v>2026-09-22T00:00:00.000Z</x:v>
      </x:c>
      <x:c r="C51" s="2" t="str">
        <x:v>Презентации</x:v>
      </x:c>
      <x:c r="D51" s="2" t="str">
        <x:v>пробовал</x:v>
      </x:c>
      <x:c r="E51" s="2" t="n">
        <x:v>5</x:v>
      </x:c>
      <x:c r="F51" s="2" t="str">
        <x:v>да</x:v>
      </x:c>
      <x:c r="G51" s="2" t="str">
        <x:v>Успевал повторять действия на экране. Занимался вечером. Задание 050.</x:v>
      </x:c>
      <x:c r="H51" s="2"/>
      <x:c r="I51" s="2"/>
      <x:c r="J51" s="2"/>
      <x:c r="K51" s="2"/>
    </x:row>
    <x:row r="52" ht="26" customHeight="1">
      <x:c r="A52" s="2" t="str">
        <x:v>R051</x:v>
      </x:c>
      <x:c r="B52" s="7" t="d">
        <x:v>2026-09-23T00:00:00.000Z</x:v>
      </x:c>
      <x:c r="C52" s="2" t="str">
        <x:v>Поиск</x:v>
      </x:c>
      <x:c r="D52" s="2" t="str">
        <x:v>использую</x:v>
      </x:c>
      <x:c r="E52" s="2"/>
      <x:c r="F52" s="2" t="str">
        <x:v>да</x:v>
      </x:c>
      <x:c r="G52" s="2" t="str">
        <x:v>Сам сделал письмо клиенту по образцу. Занимался вечером. Задание 051.</x:v>
      </x:c>
      <x:c r="H52" s="2"/>
      <x:c r="I52" s="2"/>
      <x:c r="J52" s="2"/>
      <x:c r="K52" s="2"/>
    </x:row>
    <x:row r="53" ht="26" customHeight="1">
      <x:c r="A53" s="2" t="str">
        <x:v>R052</x:v>
      </x:c>
      <x:c r="B53" s="7" t="d">
        <x:v>2026-09-24T00:00:00.000Z</x:v>
      </x:c>
      <x:c r="C53" s="2" t="str">
        <x:v>Таблицы</x:v>
      </x:c>
      <x:c r="D53" s="2" t="str">
        <x:v>с нуля</x:v>
      </x:c>
      <x:c r="E53" s="2" t="n">
        <x:v>5</x:v>
      </x:c>
      <x:c r="F53" s="2" t="str">
        <x:v>да</x:v>
      </x:c>
      <x:c r="G53" s="2" t="str">
        <x:v>Получилось войти в сервис и выполнить задание. Занимался вечером. Задание 052.</x:v>
      </x:c>
      <x:c r="H53" s="2"/>
      <x:c r="I53" s="2"/>
      <x:c r="J53" s="2"/>
      <x:c r="K53" s="2"/>
    </x:row>
    <x:row r="54" ht="26" customHeight="1">
      <x:c r="A54" s="2" t="str">
        <x:v>R053</x:v>
      </x:c>
      <x:c r="B54" s="7" t="d">
        <x:v>2026-09-25T00:00:00.000Z</x:v>
      </x:c>
      <x:c r="C54" s="2" t="str">
        <x:v>Письма</x:v>
      </x:c>
      <x:c r="D54" s="2" t="str">
        <x:v>пробовал</x:v>
      </x:c>
      <x:c r="E54" s="2" t="n">
        <x:v>5</x:v>
      </x:c>
      <x:c r="F54" s="2" t="str">
        <x:v>да</x:v>
      </x:c>
      <x:c r="G54" s="2" t="str">
        <x:v>Нашёл подходящий бесплатный инструмент. Занимался вечером. Задание 053.</x:v>
      </x:c>
      <x:c r="H54" s="2"/>
      <x:c r="I54" s="2"/>
      <x:c r="J54" s="2"/>
      <x:c r="K54" s="2"/>
    </x:row>
    <x:row r="55" ht="26" customHeight="1">
      <x:c r="A55" s="2" t="str">
        <x:v>R054</x:v>
      </x:c>
      <x:c r="B55" s="7" t="d">
        <x:v>2026-09-26T00:00:00.000Z</x:v>
      </x:c>
      <x:c r="C55" s="2" t="str">
        <x:v>Презентации</x:v>
      </x:c>
      <x:c r="D55" s="2" t="str">
        <x:v>использую</x:v>
      </x:c>
      <x:c r="E55" s="2" t="n">
        <x:v>5</x:v>
      </x:c>
      <x:c r="F55" s="2" t="str">
        <x:v>да</x:v>
      </x:c>
      <x:c r="G55" s="2" t="str">
        <x:v>Сохранил памятку и повторил по ней шаги. Занимался вечером. Задание 054.</x:v>
      </x:c>
      <x:c r="H55" s="2"/>
      <x:c r="I55" s="2"/>
      <x:c r="J55" s="2"/>
      <x:c r="K55" s="2"/>
    </x:row>
    <x:row r="56" ht="26" customHeight="1">
      <x:c r="A56" s="2" t="str">
        <x:v>R055</x:v>
      </x:c>
      <x:c r="B56" s="7" t="d">
        <x:v>2026-09-27T00:00:00.000Z</x:v>
      </x:c>
      <x:c r="C56" s="2" t="str">
        <x:v>Поиск</x:v>
      </x:c>
      <x:c r="D56" s="2" t="str">
        <x:v>с нуля</x:v>
      </x:c>
      <x:c r="E56" s="2" t="n">
        <x:v>5</x:v>
      </x:c>
      <x:c r="F56" s="2" t="str">
        <x:v>да</x:v>
      </x:c>
      <x:c r="G56" s="2" t="str">
        <x:v>Ссылка пришла вовремя, звук был хороший. Занимался вечером. Задание 055.</x:v>
      </x:c>
      <x:c r="H56" s="2"/>
      <x:c r="I56" s="2"/>
      <x:c r="J56" s="2"/>
      <x:c r="K56" s="2"/>
    </x:row>
    <x:row r="57" ht="26" customHeight="1">
      <x:c r="A57" s="2" t="str">
        <x:v>R056</x:v>
      </x:c>
      <x:c r="B57" s="7" t="d">
        <x:v>2026-09-28T00:00:00.000Z</x:v>
      </x:c>
      <x:c r="C57" s="2" t="str">
        <x:v>Таблицы</x:v>
      </x:c>
      <x:c r="D57" s="2" t="str">
        <x:v>пробовал</x:v>
      </x:c>
      <x:c r="E57" s="2" t="n">
        <x:v>5</x:v>
      </x:c>
      <x:c r="F57" s="2" t="str">
        <x:v>да</x:v>
      </x:c>
      <x:c r="G57" s="2" t="str">
        <x:v>Спасибо за занятие. Занимался вечером. Задание 056.</x:v>
      </x:c>
      <x:c r="H57" s="2"/>
      <x:c r="I57" s="2"/>
      <x:c r="J57" s="2"/>
      <x:c r="K57" s="2"/>
    </x:row>
    <x:row r="58" ht="26" customHeight="1">
      <x:c r="A58" s="2" t="str">
        <x:v>R057</x:v>
      </x:c>
      <x:c r="B58" s="7" t="d">
        <x:v>2026-09-01T00:00:00.000Z</x:v>
      </x:c>
      <x:c r="C58" s="2" t="str">
        <x:v>Письма</x:v>
      </x:c>
      <x:c r="D58" s="2" t="str">
        <x:v>использую</x:v>
      </x:c>
      <x:c r="E58" s="2" t="n">
        <x:v>2</x:v>
      </x:c>
      <x:c r="F58" s="2" t="str">
        <x:v>нет</x:v>
      </x:c>
      <x:c r="G58" s="2" t="str">
        <x:v>Не понял разницу между задачей и запросом. Занимался вечером. Задание 057.</x:v>
      </x:c>
      <x:c r="H58" s="2"/>
      <x:c r="I58" s="2"/>
      <x:c r="J58" s="2"/>
      <x:c r="K58" s="2"/>
    </x:row>
    <x:row r="59" ht="26" customHeight="1">
      <x:c r="A59" s="2" t="str">
        <x:v>R058</x:v>
      </x:c>
      <x:c r="B59" s="7" t="d">
        <x:v>2026-09-02T00:00:00.000Z</x:v>
      </x:c>
      <x:c r="C59" s="2" t="str">
        <x:v>Презентации</x:v>
      </x:c>
      <x:c r="D59" s="2" t="str">
        <x:v>с нуля</x:v>
      </x:c>
      <x:c r="E59" s="2" t="n">
        <x:v>2</x:v>
      </x:c>
      <x:c r="F59" s="2" t="str">
        <x:v>нет</x:v>
      </x:c>
      <x:c r="G59" s="2" t="str">
        <x:v>Слишком быстро переключались между окнами. Занимался вечером. Задание 058.</x:v>
      </x:c>
      <x:c r="H59" s="2"/>
      <x:c r="I59" s="2"/>
      <x:c r="J59" s="2"/>
      <x:c r="K59" s="2"/>
    </x:row>
    <x:row r="60" ht="26" customHeight="1">
      <x:c r="A60" s="2" t="str">
        <x:v>R059</x:v>
      </x:c>
      <x:c r="B60" s="7" t="d">
        <x:v>2026-09-03T00:00:00.000Z</x:v>
      </x:c>
      <x:c r="C60" s="2" t="str">
        <x:v>Поиск</x:v>
      </x:c>
      <x:c r="D60" s="2" t="str">
        <x:v>пробовал</x:v>
      </x:c>
      <x:c r="E60" s="2" t="n">
        <x:v>2</x:v>
      </x:c>
      <x:c r="F60" s="2" t="str">
        <x:v>нет</x:v>
      </x:c>
      <x:c r="G60" s="2" t="str">
        <x:v>Не хватило самостоятельной практики. Занимался вечером. Задание 059.</x:v>
      </x:c>
      <x:c r="H60" s="2"/>
      <x:c r="I60" s="2"/>
      <x:c r="J60" s="2"/>
      <x:c r="K60" s="2"/>
    </x:row>
    <x:row r="61" ht="26" customHeight="1">
      <x:c r="A61" s="2" t="str">
        <x:v>R060</x:v>
      </x:c>
      <x:c r="B61" s="7" t="d">
        <x:v>2026-09-04T00:00:00.000Z</x:v>
      </x:c>
      <x:c r="C61" s="2" t="str">
        <x:v>Таблицы</x:v>
      </x:c>
      <x:c r="D61" s="2" t="str">
        <x:v>использую</x:v>
      </x:c>
      <x:c r="E61" s="2" t="n">
        <x:v>2</x:v>
      </x:c>
      <x:c r="F61" s="2" t="str">
        <x:v>нет</x:v>
      </x:c>
      <x:c r="G61" s="2" t="str">
        <x:v>Не удалось зарегистрироваться в сервисе. Занимался вечером. Задание 060.</x:v>
      </x:c>
      <x:c r="H61" s="2"/>
      <x:c r="I61" s="2"/>
      <x:c r="J61" s="2"/>
      <x:c r="K61" s="2"/>
    </x:row>
    <x:row r="62" ht="26" customHeight="1">
      <x:c r="A62" s="2" t="str">
        <x:v>R061</x:v>
      </x:c>
      <x:c r="B62" s="7" t="d">
        <x:v>2026-09-05T00:00:00.000Z</x:v>
      </x:c>
      <x:c r="C62" s="2" t="str">
        <x:v>Письма</x:v>
      </x:c>
      <x:c r="D62" s="2" t="str">
        <x:v>с нуля</x:v>
      </x:c>
      <x:c r="E62" s="2" t="n">
        <x:v>2</x:v>
      </x:c>
      <x:c r="F62" s="2" t="str">
        <x:v>нет</x:v>
      </x:c>
      <x:c r="G62" s="2" t="str">
        <x:v>Непонятно, какие функции требуют оплаты. Занимался вечером. Задание 061.</x:v>
      </x:c>
      <x:c r="H62" s="2"/>
      <x:c r="I62" s="2"/>
      <x:c r="J62" s="2"/>
      <x:c r="K62" s="2"/>
    </x:row>
    <x:row r="63" ht="26" customHeight="1">
      <x:c r="A63" s="2" t="str">
        <x:v>R062</x:v>
      </x:c>
      <x:c r="B63" s="7" t="d">
        <x:v>2026-09-06T00:00:00.000Z</x:v>
      </x:c>
      <x:c r="C63" s="2" t="str">
        <x:v>Презентации</x:v>
      </x:c>
      <x:c r="D63" s="2" t="str">
        <x:v>пробовал</x:v>
      </x:c>
      <x:c r="E63" s="2" t="n">
        <x:v>2</x:v>
      </x:c>
      <x:c r="F63" s="2" t="str">
        <x:v>нет</x:v>
      </x:c>
      <x:c r="G63" s="2" t="str">
        <x:v>Не нашёл файл с примером после занятия. Занимался вечером. Задание 062.</x:v>
      </x:c>
      <x:c r="H63" s="2"/>
      <x:c r="I63" s="2"/>
      <x:c r="J63" s="2"/>
      <x:c r="K63" s="2"/>
    </x:row>
    <x:row r="64" ht="26" customHeight="1">
      <x:c r="A64" s="2" t="str">
        <x:v>R063</x:v>
      </x:c>
      <x:c r="B64" s="7" t="d">
        <x:v>2026-09-07T00:00:00.000Z</x:v>
      </x:c>
      <x:c r="C64" s="2" t="str">
        <x:v>Поиск</x:v>
      </x:c>
      <x:c r="D64" s="2" t="str">
        <x:v>использую</x:v>
      </x:c>
      <x:c r="E64" s="2" t="n">
        <x:v>2</x:v>
      </x:c>
      <x:c r="F64" s="2" t="str">
        <x:v>нет</x:v>
      </x:c>
      <x:c r="G64" s="2" t="str">
        <x:v>Не было слышно часть объяснения. Занимался вечером. Задание 063.</x:v>
      </x:c>
      <x:c r="H64" s="2"/>
      <x:c r="I64" s="2"/>
      <x:c r="J64" s="2"/>
      <x:c r="K64" s="2"/>
    </x:row>
    <x:row r="65" ht="26" customHeight="1">
      <x:c r="A65" s="2" t="str">
        <x:v>R064</x:v>
      </x:c>
      <x:c r="B65" s="7" t="d">
        <x:v>2026-09-08T00:00:00.000Z</x:v>
      </x:c>
      <x:c r="C65" s="2" t="str">
        <x:v>Таблицы</x:v>
      </x:c>
      <x:c r="D65" s="2" t="str">
        <x:v>с нуля</x:v>
      </x:c>
      <x:c r="E65" s="2" t="n">
        <x:v>3</x:v>
      </x:c>
      <x:c r="F65" s="2" t="str">
        <x:v>нет</x:v>
      </x:c>
      <x:c r="G65" s="2" t="str">
        <x:v>Нормально. Занимался вечером. Задание 064.</x:v>
      </x:c>
      <x:c r="H65" s="2"/>
      <x:c r="I65" s="2"/>
      <x:c r="J65" s="2"/>
      <x:c r="K65" s="2"/>
    </x:row>
    <x:row r="66" ht="26" customHeight="1">
      <x:c r="A66" s="2" t="str">
        <x:v>R065</x:v>
      </x:c>
      <x:c r="B66" s="7" t="d">
        <x:v>2026-09-09T00:00:00.000Z</x:v>
      </x:c>
      <x:c r="C66" s="2" t="str">
        <x:v>Письма</x:v>
      </x:c>
      <x:c r="D66" s="2" t="str">
        <x:v>пробовал</x:v>
      </x:c>
      <x:c r="E66" s="2" t="n">
        <x:v>3</x:v>
      </x:c>
      <x:c r="F66" s="2" t="str">
        <x:v>нет</x:v>
      </x:c>
      <x:c r="G66" s="2" t="str">
        <x:v>Термины объяснили понятно, но часть шагов осталась неясной. Занимался вечером. Задание 065.</x:v>
      </x:c>
      <x:c r="H66" s="2"/>
      <x:c r="I66" s="2"/>
      <x:c r="J66" s="2"/>
      <x:c r="K66" s="2"/>
    </x:row>
    <x:row r="67" ht="26" customHeight="1">
      <x:c r="A67" s="2" t="str">
        <x:v>R066</x:v>
      </x:c>
      <x:c r="B67" s="7" t="d">
        <x:v>2026-09-10T00:00:00.000Z</x:v>
      </x:c>
      <x:c r="C67" s="2" t="str">
        <x:v>Презентации</x:v>
      </x:c>
      <x:c r="D67" s="2" t="str">
        <x:v>использую</x:v>
      </x:c>
      <x:c r="E67" s="2" t="n">
        <x:v>3</x:v>
      </x:c>
      <x:c r="F67" s="2" t="str">
        <x:v>нет</x:v>
      </x:c>
      <x:c r="G67" s="2" t="str">
        <x:v>Начало шло спокойно, а конец был слишком быстрым. Занимался вечером. Задание 066.</x:v>
      </x:c>
      <x:c r="H67" s="2"/>
      <x:c r="I67" s="2"/>
      <x:c r="J67" s="2"/>
      <x:c r="K67" s="2"/>
    </x:row>
    <x:row r="68" ht="26" customHeight="1">
      <x:c r="A68" s="2" t="str">
        <x:v>R067</x:v>
      </x:c>
      <x:c r="B68" s="7" t="d">
        <x:v>2026-09-11T00:00:00.000Z</x:v>
      </x:c>
      <x:c r="C68" s="2" t="str">
        <x:v>Поиск</x:v>
      </x:c>
      <x:c r="D68" s="2" t="str">
        <x:v>с нуля</x:v>
      </x:c>
      <x:c r="E68" s="2" t="n">
        <x:v>4</x:v>
      </x:c>
      <x:c r="F68" s="2" t="str">
        <x:v>да</x:v>
      </x:c>
      <x:c r="G68" s="2" t="str">
        <x:v>Примеры полезные, но хочу задание для своей работы. Занимался вечером. Задание 067.</x:v>
      </x:c>
      <x:c r="H68" s="2"/>
      <x:c r="I68" s="2"/>
      <x:c r="J68" s="2"/>
      <x:c r="K68" s="2"/>
    </x:row>
    <x:row r="69" ht="26" customHeight="1">
      <x:c r="A69" s="2" t="str">
        <x:v>R068</x:v>
      </x:c>
      <x:c r="B69" s="7" t="d">
        <x:v>2026-09-12T00:00:00.000Z</x:v>
      </x:c>
      <x:c r="C69" s="2" t="str">
        <x:v>Таблицы</x:v>
      </x:c>
      <x:c r="D69" s="2" t="str">
        <x:v>пробовал</x:v>
      </x:c>
      <x:c r="E69" s="2" t="n">
        <x:v>4</x:v>
      </x:c>
      <x:c r="F69" s="2" t="str">
        <x:v>да</x:v>
      </x:c>
      <x:c r="G69" s="2" t="str">
        <x:v>Сначала не смог войти, потом помог резервный способ. Занимался вечером. Задание 068.</x:v>
      </x:c>
      <x:c r="H69" s="2"/>
      <x:c r="I69" s="2"/>
      <x:c r="J69" s="2"/>
      <x:c r="K69" s="2"/>
    </x:row>
    <x:row r="70" ht="26" customHeight="1">
      <x:c r="A70" s="2" t="str">
        <x:v>R069</x:v>
      </x:c>
      <x:c r="B70" s="7" t="d">
        <x:v>2026-09-13T00:00:00.000Z</x:v>
      </x:c>
      <x:c r="C70" s="2" t="str">
        <x:v>Письма</x:v>
      </x:c>
      <x:c r="D70" s="2" t="str">
        <x:v>использую</x:v>
      </x:c>
      <x:c r="E70" s="2" t="n">
        <x:v>3</x:v>
      </x:c>
      <x:c r="F70" s="2" t="str">
        <x:v>нет</x:v>
      </x:c>
      <x:c r="G70" s="2" t="str">
        <x:v>Бесплатного режима хватило для примера, но дальше есть ограничения. Занимался вечером. Задание 069.</x:v>
      </x:c>
      <x:c r="H70" s="2"/>
      <x:c r="I70" s="2"/>
      <x:c r="J70" s="2"/>
      <x:c r="K70" s="2"/>
    </x:row>
    <x:row r="71" ht="26" customHeight="1">
      <x:c r="A71" s="2" t="str">
        <x:v>R070</x:v>
      </x:c>
      <x:c r="B71" s="7" t="d">
        <x:v>2026-09-14T00:00:00.000Z</x:v>
      </x:c>
      <x:c r="C71" s="2" t="str">
        <x:v>Презентации</x:v>
      </x:c>
      <x:c r="D71" s="2" t="str">
        <x:v>с нуля</x:v>
      </x:c>
      <x:c r="E71" s="2" t="n">
        <x:v>4</x:v>
      </x:c>
      <x:c r="F71" s="2" t="str">
        <x:v>да</x:v>
      </x:c>
      <x:c r="G71" s="2" t="str">
        <x:v>Запись полезная, хотелось бы добавить таймкоды. Занимался вечером. Задание 070.</x:v>
      </x:c>
      <x:c r="H71" s="2"/>
      <x:c r="I71" s="2"/>
      <x:c r="J71" s="2"/>
      <x:c r="K71" s="2"/>
    </x:row>
    <x:row r="72" ht="26" customHeight="1">
      <x:c r="A72" s="2" t="str">
        <x:v>R071</x:v>
      </x:c>
      <x:c r="B72" s="7" t="d">
        <x:v>2026-09-15T00:00:00.000Z</x:v>
      </x:c>
      <x:c r="C72" s="2" t="str">
        <x:v>Поиск</x:v>
      </x:c>
      <x:c r="D72" s="2" t="str">
        <x:v>пробовал</x:v>
      </x:c>
      <x:c r="E72" s="2" t="n">
        <x:v>3</x:v>
      </x:c>
      <x:c r="F72" s="2" t="str">
        <x:v>нет</x:v>
      </x:c>
      <x:c r="G72" s="2" t="str">
        <x:v>Подключился легко, но вопросы в чате остались без ответа. Занимался вечером. Задание 071.</x:v>
      </x:c>
      <x:c r="H72" s="2"/>
      <x:c r="I72" s="2"/>
      <x:c r="J72" s="2"/>
      <x:c r="K72" s="2"/>
    </x:row>
    <x:row r="73" ht="26" customHeight="1">
      <x:c r="A73" s="2" t="str">
        <x:v>R072</x:v>
      </x:c>
      <x:c r="B73" s="7" t="d">
        <x:v>2026-09-16T00:00:00.000Z</x:v>
      </x:c>
      <x:c r="C73" s="2" t="str">
        <x:v>Таблицы</x:v>
      </x:c>
      <x:c r="D73" s="2" t="str">
        <x:v>использую</x:v>
      </x:c>
      <x:c r="E73" s="2" t="n">
        <x:v>3</x:v>
      </x:c>
      <x:c r="F73" s="2" t="str">
        <x:v>нет</x:v>
      </x:c>
      <x:c r="G73" s="2" t="str">
        <x:v>Пока не решил, где буду это применять. Занимался вечером. Задание 072.</x:v>
      </x:c>
      <x:c r="H73" s="2"/>
      <x:c r="I73" s="2"/>
      <x:c r="J73" s="2"/>
      <x:c r="K73" s="2"/>
    </x:row>
    <x:row r="74" ht="26" customHeight="1">
      <x:c r="A74" s="2" t="str">
        <x:v>R073</x:v>
      </x:c>
      <x:c r="B74" s="7" t="d">
        <x:v>2026-09-17T00:00:00.000Z</x:v>
      </x:c>
      <x:c r="C74" s="2" t="str">
        <x:v>Письма</x:v>
      </x:c>
      <x:c r="D74" s="2" t="str">
        <x:v>с нуля</x:v>
      </x:c>
      <x:c r="E74" s="2" t="n">
        <x:v>5</x:v>
      </x:c>
      <x:c r="F74" s="2" t="str">
        <x:v>да</x:v>
      </x:c>
      <x:c r="G74" s="2" t="str">
        <x:v>Объяснение стало понятным после примера. Пробовал повторить на следующий день. Задание 073.</x:v>
      </x:c>
      <x:c r="H74" s="2"/>
      <x:c r="I74" s="2"/>
      <x:c r="J74" s="2"/>
      <x:c r="K74" s="2"/>
    </x:row>
    <x:row r="75" ht="26" customHeight="1">
      <x:c r="A75" s="2" t="str">
        <x:v>R074</x:v>
      </x:c>
      <x:c r="B75" s="7" t="d">
        <x:v>2026-09-18T00:00:00.000Z</x:v>
      </x:c>
      <x:c r="C75" s="2" t="str">
        <x:v>Презентации</x:v>
      </x:c>
      <x:c r="D75" s="2" t="str">
        <x:v>пробовал</x:v>
      </x:c>
      <x:c r="E75" s="2" t="n">
        <x:v>5</x:v>
      </x:c>
      <x:c r="F75" s="2" t="str">
        <x:v>да</x:v>
      </x:c>
      <x:c r="G75" s="2" t="str">
        <x:v>Успевал повторять действия на экране. Пробовал повторить на следующий день. Задание 074.</x:v>
      </x:c>
      <x:c r="H75" s="2"/>
      <x:c r="I75" s="2"/>
      <x:c r="J75" s="2"/>
      <x:c r="K75" s="2"/>
    </x:row>
    <x:row r="76" ht="26" customHeight="1">
      <x:c r="A76" s="2" t="str">
        <x:v>R075</x:v>
      </x:c>
      <x:c r="B76" s="7" t="d">
        <x:v>2026-09-19T00:00:00.000Z</x:v>
      </x:c>
      <x:c r="C76" s="2" t="str">
        <x:v>Поиск</x:v>
      </x:c>
      <x:c r="D76" s="2" t="str">
        <x:v>использую</x:v>
      </x:c>
      <x:c r="E76" s="2" t="n">
        <x:v>5</x:v>
      </x:c>
      <x:c r="F76" s="2" t="str">
        <x:v>да</x:v>
      </x:c>
      <x:c r="G76" s="2" t="str">
        <x:v>Сам сделал письмо клиенту по образцу. Пробовал повторить на следующий день. Задание 075.</x:v>
      </x:c>
      <x:c r="H76" s="2"/>
      <x:c r="I76" s="2"/>
      <x:c r="J76" s="2"/>
      <x:c r="K76" s="2"/>
    </x:row>
    <x:row r="77" ht="26" customHeight="1">
      <x:c r="A77" s="2" t="str">
        <x:v>R076</x:v>
      </x:c>
      <x:c r="B77" s="7" t="d">
        <x:v>2026-09-20T00:00:00.000Z</x:v>
      </x:c>
      <x:c r="C77" s="2" t="str">
        <x:v>Таблицы</x:v>
      </x:c>
      <x:c r="D77" s="2" t="str">
        <x:v>с нуля</x:v>
      </x:c>
      <x:c r="E77" s="2" t="n">
        <x:v>5</x:v>
      </x:c>
      <x:c r="F77" s="2" t="str">
        <x:v>да</x:v>
      </x:c>
      <x:c r="G77" s="2" t="str">
        <x:v>Получилось войти в сервис и выполнить задание. Пробовал повторить на следующий день. Задание 076.</x:v>
      </x:c>
      <x:c r="H77" s="2"/>
      <x:c r="I77" s="2"/>
      <x:c r="J77" s="2"/>
      <x:c r="K77" s="2"/>
    </x:row>
    <x:row r="78" ht="26" customHeight="1">
      <x:c r="A78" s="2" t="str">
        <x:v>R077</x:v>
      </x:c>
      <x:c r="B78" s="7" t="d">
        <x:v>2026-09-21T00:00:00.000Z</x:v>
      </x:c>
      <x:c r="C78" s="2" t="str">
        <x:v>Письма</x:v>
      </x:c>
      <x:c r="D78" s="2" t="str">
        <x:v>пробовал</x:v>
      </x:c>
      <x:c r="E78" s="2" t="n">
        <x:v>6</x:v>
      </x:c>
      <x:c r="F78" s="2" t="str">
        <x:v>да</x:v>
      </x:c>
      <x:c r="G78" s="2" t="str">
        <x:v>Нашёл подходящий бесплатный инструмент. Пробовал повторить на следующий день. Задание 077.</x:v>
      </x:c>
      <x:c r="H78" s="2"/>
      <x:c r="I78" s="2"/>
      <x:c r="J78" s="2"/>
      <x:c r="K78" s="2"/>
    </x:row>
    <x:row r="79" ht="26" customHeight="1">
      <x:c r="A79" s="2" t="str">
        <x:v>R078</x:v>
      </x:c>
      <x:c r="B79" s="7" t="d">
        <x:v>2026-09-22T00:00:00.000Z</x:v>
      </x:c>
      <x:c r="C79" s="2" t="str">
        <x:v>Презентации</x:v>
      </x:c>
      <x:c r="D79" s="2" t="str">
        <x:v>использую</x:v>
      </x:c>
      <x:c r="E79" s="2" t="n">
        <x:v>5</x:v>
      </x:c>
      <x:c r="F79" s="2" t="str">
        <x:v>да</x:v>
      </x:c>
      <x:c r="G79" s="2" t="str">
        <x:v>Сохранил памятку и повторил по ней шаги. Пробовал повторить на следующий день. Задание 078.</x:v>
      </x:c>
      <x:c r="H79" s="2"/>
      <x:c r="I79" s="2"/>
      <x:c r="J79" s="2"/>
      <x:c r="K79" s="2"/>
    </x:row>
    <x:row r="80" ht="26" customHeight="1">
      <x:c r="A80" s="2" t="str">
        <x:v>R079</x:v>
      </x:c>
      <x:c r="B80" s="7" t="d">
        <x:v>2026-09-23T00:00:00.000Z</x:v>
      </x:c>
      <x:c r="C80" s="2" t="str">
        <x:v>Поиск</x:v>
      </x:c>
      <x:c r="D80" s="2" t="str">
        <x:v>с нуля</x:v>
      </x:c>
      <x:c r="E80" s="2" t="n">
        <x:v>5</x:v>
      </x:c>
      <x:c r="F80" s="2" t="str">
        <x:v>да</x:v>
      </x:c>
      <x:c r="G80" s="2" t="str">
        <x:v>Ссылка пришла вовремя, звук был хороший. Пробовал повторить на следующий день. Задание 079.</x:v>
      </x:c>
      <x:c r="H80" s="2"/>
      <x:c r="I80" s="2"/>
      <x:c r="J80" s="2"/>
      <x:c r="K80" s="2"/>
    </x:row>
    <x:row r="81" ht="26" customHeight="1">
      <x:c r="A81" s="2" t="str">
        <x:v>R080</x:v>
      </x:c>
      <x:c r="B81" s="7" t="d">
        <x:v>2026-09-24T00:00:00.000Z</x:v>
      </x:c>
      <x:c r="C81" s="2" t="str">
        <x:v>Таблицы</x:v>
      </x:c>
      <x:c r="D81" s="2" t="str">
        <x:v>пробовал</x:v>
      </x:c>
      <x:c r="E81" s="2" t="n">
        <x:v>5</x:v>
      </x:c>
      <x:c r="F81" s="2" t="str">
        <x:v>да</x:v>
      </x:c>
      <x:c r="G81" s="2" t="str">
        <x:v>Спасибо за занятие. Пробовал повторить на следующий день. Задание 080.</x:v>
      </x:c>
      <x:c r="H81" s="2"/>
      <x:c r="I81" s="2"/>
      <x:c r="J81" s="2"/>
      <x:c r="K81" s="2"/>
    </x:row>
    <x:row r="82" ht="26" customHeight="1">
      <x:c r="A82" s="2" t="str">
        <x:v>R081</x:v>
      </x:c>
      <x:c r="B82" s="7" t="d">
        <x:v>2026-09-25T00:00:00.000Z</x:v>
      </x:c>
      <x:c r="C82" s="2" t="str">
        <x:v>Письма</x:v>
      </x:c>
      <x:c r="D82" s="2" t="str">
        <x:v>использую</x:v>
      </x:c>
      <x:c r="E82" s="2" t="n">
        <x:v>2</x:v>
      </x:c>
      <x:c r="F82" s="2" t="str">
        <x:v>нет</x:v>
      </x:c>
      <x:c r="G82" s="2" t="str">
        <x:v>Не понял разницу между задачей и запросом. Пробовал повторить на следующий день. Задание 081.</x:v>
      </x:c>
      <x:c r="H82" s="2"/>
      <x:c r="I82" s="2"/>
      <x:c r="J82" s="2"/>
      <x:c r="K82" s="2"/>
    </x:row>
    <x:row r="83" ht="26" customHeight="1">
      <x:c r="A83" s="2" t="str">
        <x:v>R082</x:v>
      </x:c>
      <x:c r="B83" s="7" t="d">
        <x:v>2026-09-26T00:00:00.000Z</x:v>
      </x:c>
      <x:c r="C83" s="2" t="str">
        <x:v>Презентации</x:v>
      </x:c>
      <x:c r="D83" s="2" t="str">
        <x:v>с нуля</x:v>
      </x:c>
      <x:c r="E83" s="2" t="n">
        <x:v>2</x:v>
      </x:c>
      <x:c r="F83" s="2" t="str">
        <x:v>нет</x:v>
      </x:c>
      <x:c r="G83" s="2" t="str">
        <x:v>Слишком быстро переключались между окнами. Пробовал повторить на следующий день. Задание 082.</x:v>
      </x:c>
      <x:c r="H83" s="2"/>
      <x:c r="I83" s="2"/>
      <x:c r="J83" s="2"/>
      <x:c r="K83" s="2"/>
    </x:row>
    <x:row r="84" ht="26" customHeight="1">
      <x:c r="A84" s="2" t="str">
        <x:v>R083</x:v>
      </x:c>
      <x:c r="B84" s="7" t="d">
        <x:v>2026-09-27T00:00:00.000Z</x:v>
      </x:c>
      <x:c r="C84" s="2" t="str">
        <x:v>Поиск</x:v>
      </x:c>
      <x:c r="D84" s="2" t="str">
        <x:v>пробовал</x:v>
      </x:c>
      <x:c r="E84" s="2" t="n">
        <x:v>2</x:v>
      </x:c>
      <x:c r="F84" s="2" t="str">
        <x:v>нет</x:v>
      </x:c>
      <x:c r="G84" s="2" t="str">
        <x:v>Не хватило самостоятельной практики. Пробовал повторить на следующий день. Задание 083.</x:v>
      </x:c>
      <x:c r="H84" s="2"/>
      <x:c r="I84" s="2"/>
      <x:c r="J84" s="2"/>
      <x:c r="K84" s="2"/>
    </x:row>
    <x:row r="85" ht="26" customHeight="1">
      <x:c r="A85" s="2" t="str">
        <x:v>R084</x:v>
      </x:c>
      <x:c r="B85" s="7" t="d">
        <x:v>2026-09-28T00:00:00.000Z</x:v>
      </x:c>
      <x:c r="C85" s="2" t="str">
        <x:v>Таблицы</x:v>
      </x:c>
      <x:c r="D85" s="2" t="str">
        <x:v>использую</x:v>
      </x:c>
      <x:c r="E85" s="2" t="n">
        <x:v>2</x:v>
      </x:c>
      <x:c r="F85" s="2" t="str">
        <x:v>нет</x:v>
      </x:c>
      <x:c r="G85" s="2" t="str">
        <x:v>Не удалось зарегистрироваться в сервисе. Пробовал повторить на следующий день. Задание 084.</x:v>
      </x:c>
      <x:c r="H85" s="2"/>
      <x:c r="I85" s="2"/>
      <x:c r="J85" s="2"/>
      <x:c r="K85" s="2"/>
    </x:row>
    <x:row r="86" ht="26" customHeight="1">
      <x:c r="A86" s="2" t="str">
        <x:v>R085</x:v>
      </x:c>
      <x:c r="B86" s="7" t="d">
        <x:v>2026-09-01T00:00:00.000Z</x:v>
      </x:c>
      <x:c r="C86" s="2" t="str">
        <x:v>Письма</x:v>
      </x:c>
      <x:c r="D86" s="2" t="str">
        <x:v>с нуля</x:v>
      </x:c>
      <x:c r="E86" s="2" t="n">
        <x:v>2</x:v>
      </x:c>
      <x:c r="F86" s="2" t="str">
        <x:v>нет</x:v>
      </x:c>
      <x:c r="G86" s="2" t="str">
        <x:v>Непонятно, какие функции требуют оплаты. Пробовал повторить на следующий день. Задание 085.</x:v>
      </x:c>
      <x:c r="H86" s="2"/>
      <x:c r="I86" s="2"/>
      <x:c r="J86" s="2"/>
      <x:c r="K86" s="2"/>
    </x:row>
    <x:row r="87" ht="26" customHeight="1">
      <x:c r="A87" s="2" t="str">
        <x:v>R086</x:v>
      </x:c>
      <x:c r="B87" s="7" t="d">
        <x:v>2026-09-02T00:00:00.000Z</x:v>
      </x:c>
      <x:c r="C87" s="2" t="str">
        <x:v>Презентации</x:v>
      </x:c>
      <x:c r="D87" s="2" t="str">
        <x:v>пробовал</x:v>
      </x:c>
      <x:c r="E87" s="2" t="n">
        <x:v>2</x:v>
      </x:c>
      <x:c r="F87" s="2" t="str">
        <x:v>нет</x:v>
      </x:c>
      <x:c r="G87" s="2" t="str">
        <x:v>Не нашёл файл с примером после занятия. Пробовал повторить на следующий день. Задание 086.</x:v>
      </x:c>
      <x:c r="H87" s="2"/>
      <x:c r="I87" s="2"/>
      <x:c r="J87" s="2"/>
      <x:c r="K87" s="2"/>
    </x:row>
    <x:row r="88" ht="26" customHeight="1">
      <x:c r="A88" s="2" t="str">
        <x:v>R087</x:v>
      </x:c>
      <x:c r="B88" s="7" t="d">
        <x:v>2026-09-03T00:00:00.000Z</x:v>
      </x:c>
      <x:c r="C88" s="2" t="str">
        <x:v>Поиск</x:v>
      </x:c>
      <x:c r="D88" s="2" t="str">
        <x:v>использую</x:v>
      </x:c>
      <x:c r="E88" s="2" t="n">
        <x:v>2</x:v>
      </x:c>
      <x:c r="F88" s="2" t="str">
        <x:v>нет</x:v>
      </x:c>
      <x:c r="G88" s="2" t="str">
        <x:v>Не было слышно часть объяснения. Пробовал повторить на следующий день. Задание 087.</x:v>
      </x:c>
      <x:c r="H88" s="2"/>
      <x:c r="I88" s="2"/>
      <x:c r="J88" s="2"/>
      <x:c r="K88" s="2"/>
    </x:row>
    <x:row r="89" ht="26" customHeight="1">
      <x:c r="A89" s="2" t="str">
        <x:v>R088</x:v>
      </x:c>
      <x:c r="B89" s="7" t="d">
        <x:v>2026-09-04T00:00:00.000Z</x:v>
      </x:c>
      <x:c r="C89" s="2" t="str">
        <x:v>Таблицы</x:v>
      </x:c>
      <x:c r="D89" s="2" t="str">
        <x:v>с нуля</x:v>
      </x:c>
      <x:c r="E89" s="2" t="n">
        <x:v>3</x:v>
      </x:c>
      <x:c r="F89" s="2" t="str">
        <x:v>нет</x:v>
      </x:c>
      <x:c r="G89" s="2" t="str">
        <x:v>Нормально. Пробовал повторить на следующий день. Задание 088.</x:v>
      </x:c>
      <x:c r="H89" s="2"/>
      <x:c r="I89" s="2"/>
      <x:c r="J89" s="2"/>
      <x:c r="K89" s="2"/>
    </x:row>
    <x:row r="90" ht="26" customHeight="1">
      <x:c r="A90" s="2" t="str">
        <x:v>R089</x:v>
      </x:c>
      <x:c r="B90" s="7" t="d">
        <x:v>2026-09-05T00:00:00.000Z</x:v>
      </x:c>
      <x:c r="C90" s="2" t="str">
        <x:v>Письма</x:v>
      </x:c>
      <x:c r="D90" s="2" t="str">
        <x:v>пробовал</x:v>
      </x:c>
      <x:c r="E90" s="2" t="n">
        <x:v>3</x:v>
      </x:c>
      <x:c r="F90" s="2" t="str">
        <x:v>нет</x:v>
      </x:c>
      <x:c r="G90" s="2" t="str">
        <x:v>Термины объяснили понятно, но часть шагов осталась неясной. Пробовал повторить на следующий день. Задание 089.</x:v>
      </x:c>
      <x:c r="H90" s="2"/>
      <x:c r="I90" s="2"/>
      <x:c r="J90" s="2"/>
      <x:c r="K90" s="2"/>
    </x:row>
    <x:row r="91" ht="26" customHeight="1">
      <x:c r="A91" s="2" t="str">
        <x:v>R090</x:v>
      </x:c>
      <x:c r="B91" s="7" t="d">
        <x:v>2026-09-06T00:00:00.000Z</x:v>
      </x:c>
      <x:c r="C91" s="2" t="str">
        <x:v>Презентации</x:v>
      </x:c>
      <x:c r="D91" s="2" t="str">
        <x:v>использую</x:v>
      </x:c>
      <x:c r="E91" s="2" t="n">
        <x:v>3</x:v>
      </x:c>
      <x:c r="F91" s="2" t="str">
        <x:v>нет</x:v>
      </x:c>
      <x:c r="G91" s="2" t="str">
        <x:v>Начало шло спокойно, а конец был слишком быстрым. Пробовал повторить на следующий день. Задание 090.</x:v>
      </x:c>
      <x:c r="H91" s="2"/>
      <x:c r="I91" s="2"/>
      <x:c r="J91" s="2"/>
      <x:c r="K91" s="2"/>
    </x:row>
    <x:row r="92" ht="26" customHeight="1">
      <x:c r="A92" s="2" t="str">
        <x:v>R091</x:v>
      </x:c>
      <x:c r="B92" s="7" t="d">
        <x:v>2026-09-07T00:00:00.000Z</x:v>
      </x:c>
      <x:c r="C92" s="2" t="str">
        <x:v>Поиск</x:v>
      </x:c>
      <x:c r="D92" s="2" t="str">
        <x:v>с нуля</x:v>
      </x:c>
      <x:c r="E92" s="2" t="n">
        <x:v>4</x:v>
      </x:c>
      <x:c r="F92" s="2" t="str">
        <x:v>позже</x:v>
      </x:c>
      <x:c r="G92" s="2" t="str">
        <x:v>Примеры полезные, но хочу задание для своей работы. Пробовал повторить на следующий день. Задание 091.</x:v>
      </x:c>
      <x:c r="H92" s="2"/>
      <x:c r="I92" s="2"/>
      <x:c r="J92" s="2"/>
      <x:c r="K92" s="2"/>
    </x:row>
    <x:row r="93" ht="26" customHeight="1">
      <x:c r="A93" s="2" t="str">
        <x:v>R092</x:v>
      </x:c>
      <x:c r="B93" s="7" t="d">
        <x:v>2026-09-08T00:00:00.000Z</x:v>
      </x:c>
      <x:c r="C93" s="2" t="str">
        <x:v>Таблицы</x:v>
      </x:c>
      <x:c r="D93" s="2" t="str">
        <x:v>пробовал</x:v>
      </x:c>
      <x:c r="E93" s="2" t="n">
        <x:v>4</x:v>
      </x:c>
      <x:c r="F93" s="2" t="str">
        <x:v>да</x:v>
      </x:c>
      <x:c r="G93" s="2" t="str">
        <x:v>Сначала не смог войти, потом помог резервный способ. Пробовал повторить на следующий день. Задание 092.</x:v>
      </x:c>
      <x:c r="H93" s="2"/>
      <x:c r="I93" s="2"/>
      <x:c r="J93" s="2"/>
      <x:c r="K93" s="2"/>
    </x:row>
    <x:row r="94" ht="26" customHeight="1">
      <x:c r="A94" s="2" t="str">
        <x:v>R093</x:v>
      </x:c>
      <x:c r="B94" s="7" t="d">
        <x:v>2026-09-09T00:00:00.000Z</x:v>
      </x:c>
      <x:c r="C94" s="2" t="str">
        <x:v>Письма</x:v>
      </x:c>
      <x:c r="D94" s="2" t="str">
        <x:v>использую</x:v>
      </x:c>
      <x:c r="E94" s="2" t="n">
        <x:v>3</x:v>
      </x:c>
      <x:c r="F94" s="2" t="str">
        <x:v>нет</x:v>
      </x:c>
      <x:c r="G94" s="2" t="str">
        <x:v>Бесплатного режима хватило для примера, но дальше есть ограничения. Пробовал повторить на следующий день. Задание 093.</x:v>
      </x:c>
      <x:c r="H94" s="2"/>
      <x:c r="I94" s="2"/>
      <x:c r="J94" s="2"/>
      <x:c r="K94" s="2"/>
    </x:row>
    <x:row r="95" ht="26" customHeight="1">
      <x:c r="A95" s="2" t="str">
        <x:v>R094</x:v>
      </x:c>
      <x:c r="B95" s="7" t="d">
        <x:v>2026-09-10T00:00:00.000Z</x:v>
      </x:c>
      <x:c r="C95" s="2" t="str">
        <x:v>Презентации</x:v>
      </x:c>
      <x:c r="D95" s="2" t="str">
        <x:v>с нуля</x:v>
      </x:c>
      <x:c r="E95" s="2" t="n">
        <x:v>4</x:v>
      </x:c>
      <x:c r="F95" s="2" t="str">
        <x:v>да</x:v>
      </x:c>
      <x:c r="G95" s="2" t="str">
        <x:v>Запись полезная, хотелось бы добавить таймкоды. Пробовал повторить на следующий день. Задание 094.</x:v>
      </x:c>
      <x:c r="H95" s="2"/>
      <x:c r="I95" s="2"/>
      <x:c r="J95" s="2"/>
      <x:c r="K95" s="2"/>
    </x:row>
    <x:row r="96" ht="26" customHeight="1">
      <x:c r="A96" s="2" t="str">
        <x:v>R095</x:v>
      </x:c>
      <x:c r="B96" s="7" t="d">
        <x:v>2026-09-11T00:00:00.000Z</x:v>
      </x:c>
      <x:c r="C96" s="2" t="str">
        <x:v>Поиск</x:v>
      </x:c>
      <x:c r="D96" s="2" t="str">
        <x:v>пробовал</x:v>
      </x:c>
      <x:c r="E96" s="2" t="n">
        <x:v>3</x:v>
      </x:c>
      <x:c r="F96" s="2" t="str">
        <x:v>нет</x:v>
      </x:c>
      <x:c r="G96" s="2" t="str">
        <x:v>Подключился легко, но вопросы в чате остались без ответа. Пробовал повторить на следующий день. Задание 095.</x:v>
      </x:c>
      <x:c r="H96" s="2"/>
      <x:c r="I96" s="2"/>
      <x:c r="J96" s="2"/>
      <x:c r="K96" s="2"/>
    </x:row>
    <x:row r="97" ht="26" customHeight="1">
      <x:c r="A97" s="2" t="str">
        <x:v>R096</x:v>
      </x:c>
      <x:c r="B97" s="7" t="d">
        <x:v>2026-09-12T00:00:00.000Z</x:v>
      </x:c>
      <x:c r="C97" s="2" t="str">
        <x:v>Таблицы</x:v>
      </x:c>
      <x:c r="D97" s="2" t="str">
        <x:v>использую</x:v>
      </x:c>
      <x:c r="E97" s="2" t="n">
        <x:v>3</x:v>
      </x:c>
      <x:c r="F97" s="2" t="str">
        <x:v>нет</x:v>
      </x:c>
      <x:c r="G97" s="2" t="str">
        <x:v>Пока не решил, где буду это применять. Пробовал повторить на следующий день. Задание 096.</x:v>
      </x:c>
      <x:c r="H97" s="2"/>
      <x:c r="I97" s="2"/>
      <x:c r="J97" s="2"/>
      <x:c r="K97" s="2"/>
    </x:row>
    <x:row r="98" ht="26" customHeight="1">
      <x:c r="A98" s="2" t="str">
        <x:v>R097</x:v>
      </x:c>
      <x:c r="B98" s="7" t="d">
        <x:v>2026-09-13T00:00:00.000Z</x:v>
      </x:c>
      <x:c r="C98" s="2" t="str">
        <x:v>Письма</x:v>
      </x:c>
      <x:c r="D98" s="2" t="str">
        <x:v>с нуля</x:v>
      </x:c>
      <x:c r="E98" s="2" t="n">
        <x:v>5</x:v>
      </x:c>
      <x:c r="F98" s="2" t="str">
        <x:v>да</x:v>
      </x:c>
      <x:c r="G98" s="2" t="str">
        <x:v>Объяснение стало понятным после примера. Для меня это новый инструмент. Задание 097.</x:v>
      </x:c>
      <x:c r="H98" s="2"/>
      <x:c r="I98" s="2"/>
      <x:c r="J98" s="2"/>
      <x:c r="K98" s="2"/>
    </x:row>
    <x:row r="99" ht="26" customHeight="1">
      <x:c r="A99" s="2" t="str">
        <x:v>R098</x:v>
      </x:c>
      <x:c r="B99" s="7" t="d">
        <x:v>2026-09-14T00:00:00.000Z</x:v>
      </x:c>
      <x:c r="C99" s="2" t="str">
        <x:v>Презентации</x:v>
      </x:c>
      <x:c r="D99" s="2" t="str">
        <x:v>пробовал</x:v>
      </x:c>
      <x:c r="E99" s="2" t="n">
        <x:v>5</x:v>
      </x:c>
      <x:c r="F99" s="2" t="str">
        <x:v>да</x:v>
      </x:c>
      <x:c r="G99" s="2" t="str">
        <x:v>Успевал повторять действия на экране. Для меня это новый инструмент. Задание 098.</x:v>
      </x:c>
      <x:c r="H99" s="2"/>
      <x:c r="I99" s="2"/>
      <x:c r="J99" s="2"/>
      <x:c r="K99" s="2"/>
    </x:row>
    <x:row r="100" ht="26" customHeight="1">
      <x:c r="A100" s="2" t="str">
        <x:v>R099</x:v>
      </x:c>
      <x:c r="B100" s="7" t="d">
        <x:v>2026-09-15T00:00:00.000Z</x:v>
      </x:c>
      <x:c r="C100" s="2" t="str">
        <x:v>Поиск</x:v>
      </x:c>
      <x:c r="D100" s="2" t="str">
        <x:v>использую</x:v>
      </x:c>
      <x:c r="E100" s="2" t="n">
        <x:v>5</x:v>
      </x:c>
      <x:c r="F100" s="2" t="str">
        <x:v>да</x:v>
      </x:c>
      <x:c r="G100" s="2" t="str">
        <x:v>Сам сделал письмо клиенту по образцу. Для меня это новый инструмент. Задание 099.</x:v>
      </x:c>
      <x:c r="H100" s="2"/>
      <x:c r="I100" s="2"/>
      <x:c r="J100" s="2"/>
      <x:c r="K100" s="2"/>
    </x:row>
    <x:row r="101" ht="26" customHeight="1">
      <x:c r="A101" s="2" t="str">
        <x:v>R100</x:v>
      </x:c>
      <x:c r="B101" s="7" t="d">
        <x:v>2026-09-16T00:00:00.000Z</x:v>
      </x:c>
      <x:c r="C101" s="2" t="str">
        <x:v>Таблицы</x:v>
      </x:c>
      <x:c r="D101" s="2" t="str">
        <x:v>с нуля</x:v>
      </x:c>
      <x:c r="E101" s="2" t="n">
        <x:v>5</x:v>
      </x:c>
      <x:c r="F101" s="2" t="str">
        <x:v>да</x:v>
      </x:c>
      <x:c r="G101" s="2" t="str">
        <x:v>Получилось войти в сервис и выполнить задание. Для меня это новый инструмент. Задание 100.</x:v>
      </x:c>
      <x:c r="H101" s="2"/>
      <x:c r="I101" s="2"/>
      <x:c r="J101" s="2"/>
      <x:c r="K101" s="2"/>
    </x:row>
    <x:row r="102" ht="26" customHeight="1">
      <x:c r="A102" s="2" t="str">
        <x:v>R101</x:v>
      </x:c>
      <x:c r="B102" s="7" t="d">
        <x:v>2026-09-17T00:00:00.000Z</x:v>
      </x:c>
      <x:c r="C102" s="2" t="str">
        <x:v>Письма</x:v>
      </x:c>
      <x:c r="D102" s="2" t="str">
        <x:v>пробовал</x:v>
      </x:c>
      <x:c r="E102" s="2" t="n">
        <x:v>5</x:v>
      </x:c>
      <x:c r="F102" s="2" t="str">
        <x:v>да</x:v>
      </x:c>
      <x:c r="G102" s="2" t="str">
        <x:v>Нашёл подходящий бесплатный инструмент. Для меня это новый инструмент. Задание 101.</x:v>
      </x:c>
      <x:c r="H102" s="2"/>
      <x:c r="I102" s="2"/>
      <x:c r="J102" s="2"/>
      <x:c r="K102" s="2"/>
    </x:row>
    <x:row r="103" ht="26" customHeight="1">
      <x:c r="A103" s="2" t="str">
        <x:v>R102</x:v>
      </x:c>
      <x:c r="B103" s="7" t="d">
        <x:v>2026-09-18T00:00:00.000Z</x:v>
      </x:c>
      <x:c r="C103" s="2" t="str">
        <x:v>Презентации</x:v>
      </x:c>
      <x:c r="D103" s="2" t="str">
        <x:v>использую</x:v>
      </x:c>
      <x:c r="E103" s="2" t="n">
        <x:v>5</x:v>
      </x:c>
      <x:c r="F103" s="2" t="str">
        <x:v>да</x:v>
      </x:c>
      <x:c r="G103" s="2" t="str">
        <x:v>Сохранил памятку и повторил по ней шаги. Для меня это новый инструмент. Задание 102.</x:v>
      </x:c>
      <x:c r="H103" s="2"/>
      <x:c r="I103" s="2"/>
      <x:c r="J103" s="2"/>
      <x:c r="K103" s="2"/>
    </x:row>
    <x:row r="104" ht="26" customHeight="1">
      <x:c r="A104" s="2" t="str">
        <x:v>R103</x:v>
      </x:c>
      <x:c r="B104" s="7" t="d">
        <x:v>2026-09-19T00:00:00.000Z</x:v>
      </x:c>
      <x:c r="C104" s="2" t="str">
        <x:v>Поиск</x:v>
      </x:c>
      <x:c r="D104" s="2" t="str">
        <x:v>с нуля</x:v>
      </x:c>
      <x:c r="E104" s="2" t="n">
        <x:v>5</x:v>
      </x:c>
      <x:c r="F104" s="2" t="str">
        <x:v>да</x:v>
      </x:c>
      <x:c r="G104" s="2" t="str">
        <x:v>Ссылка пришла вовремя, звук был хороший. Для меня это новый инструмент. Задание 103.</x:v>
      </x:c>
      <x:c r="H104" s="2"/>
      <x:c r="I104" s="2"/>
      <x:c r="J104" s="2"/>
      <x:c r="K104" s="2"/>
    </x:row>
    <x:row r="105" ht="26" customHeight="1">
      <x:c r="A105" s="2" t="str">
        <x:v>R104</x:v>
      </x:c>
      <x:c r="B105" s="7" t="d">
        <x:v>2026-09-20T00:00:00.000Z</x:v>
      </x:c>
      <x:c r="C105" s="2" t="str">
        <x:v>Таблицы</x:v>
      </x:c>
      <x:c r="D105" s="2" t="str">
        <x:v>пробовал</x:v>
      </x:c>
      <x:c r="E105" s="2" t="n">
        <x:v>5</x:v>
      </x:c>
      <x:c r="F105" s="2" t="str">
        <x:v>да</x:v>
      </x:c>
      <x:c r="G105" s="2" t="str">
        <x:v>Спасибо за занятие. Для меня это новый инструмент. Задание 104.</x:v>
      </x:c>
      <x:c r="H105" s="2"/>
      <x:c r="I105" s="2"/>
      <x:c r="J105" s="2"/>
      <x:c r="K105" s="2"/>
    </x:row>
    <x:row r="106" ht="26" customHeight="1">
      <x:c r="A106" s="2" t="str">
        <x:v>R105</x:v>
      </x:c>
      <x:c r="B106" s="7" t="d">
        <x:v>2026-09-21T00:00:00.000Z</x:v>
      </x:c>
      <x:c r="C106" s="2" t="str">
        <x:v>Письма</x:v>
      </x:c>
      <x:c r="D106" s="2" t="str">
        <x:v>использую</x:v>
      </x:c>
      <x:c r="E106" s="2" t="n">
        <x:v>2</x:v>
      </x:c>
      <x:c r="F106" s="2" t="str">
        <x:v>нет</x:v>
      </x:c>
      <x:c r="G106" s="2" t="str">
        <x:v>Не понял разницу между задачей и запросом. Для меня это новый инструмент. Задание 105.</x:v>
      </x:c>
      <x:c r="H106" s="2"/>
      <x:c r="I106" s="2"/>
      <x:c r="J106" s="2"/>
      <x:c r="K106" s="2"/>
    </x:row>
    <x:row r="107" ht="26" customHeight="1">
      <x:c r="A107" s="2" t="str">
        <x:v>R106</x:v>
      </x:c>
      <x:c r="B107" s="7" t="d">
        <x:v>2026-09-22T00:00:00.000Z</x:v>
      </x:c>
      <x:c r="C107" s="2" t="str">
        <x:v>Презентации</x:v>
      </x:c>
      <x:c r="D107" s="2" t="str">
        <x:v>с нуля</x:v>
      </x:c>
      <x:c r="E107" s="2" t="n">
        <x:v>2</x:v>
      </x:c>
      <x:c r="F107" s="2" t="str">
        <x:v>нет</x:v>
      </x:c>
      <x:c r="G107" s="2" t="str">
        <x:v>Слишком быстро переключались между окнами. Для меня это новый инструмент. Задание 106.</x:v>
      </x:c>
      <x:c r="H107" s="2"/>
      <x:c r="I107" s="2"/>
      <x:c r="J107" s="2"/>
      <x:c r="K107" s="2"/>
    </x:row>
    <x:row r="108" ht="26" customHeight="1">
      <x:c r="A108" s="2" t="str">
        <x:v>R107</x:v>
      </x:c>
      <x:c r="B108" s="7" t="d">
        <x:v>2026-09-23T00:00:00.000Z</x:v>
      </x:c>
      <x:c r="C108" s="2" t="str">
        <x:v>Поиск</x:v>
      </x:c>
      <x:c r="D108" s="2" t="str">
        <x:v>пробовал</x:v>
      </x:c>
      <x:c r="E108" s="2" t="n">
        <x:v>2</x:v>
      </x:c>
      <x:c r="F108" s="2" t="str">
        <x:v>нет</x:v>
      </x:c>
      <x:c r="G108" s="2" t="str">
        <x:v>Не хватило самостоятельной практики. Для меня это новый инструмент. Задание 107.</x:v>
      </x:c>
      <x:c r="H108" s="2"/>
      <x:c r="I108" s="2"/>
      <x:c r="J108" s="2"/>
      <x:c r="K108" s="2"/>
    </x:row>
    <x:row r="109" ht="26" customHeight="1">
      <x:c r="A109" s="2" t="str">
        <x:v>R108</x:v>
      </x:c>
      <x:c r="B109" s="7" t="d">
        <x:v>2026-09-24T00:00:00.000Z</x:v>
      </x:c>
      <x:c r="C109" s="2" t="str">
        <x:v>Таблицы</x:v>
      </x:c>
      <x:c r="D109" s="2" t="str">
        <x:v>использую</x:v>
      </x:c>
      <x:c r="E109" s="2" t="n">
        <x:v>2</x:v>
      </x:c>
      <x:c r="F109" s="2" t="str">
        <x:v>нет</x:v>
      </x:c>
      <x:c r="G109" s="2" t="str">
        <x:v>Не удалось зарегистрироваться в сервисе. Для меня это новый инструмент. Задание 108.</x:v>
      </x:c>
      <x:c r="H109" s="2"/>
      <x:c r="I109" s="2"/>
      <x:c r="J109" s="2"/>
      <x:c r="K109" s="2"/>
    </x:row>
    <x:row r="110" ht="26" customHeight="1">
      <x:c r="A110" s="2" t="str">
        <x:v>R109</x:v>
      </x:c>
      <x:c r="B110" s="7" t="d">
        <x:v>2026-09-25T00:00:00.000Z</x:v>
      </x:c>
      <x:c r="C110" s="2" t="str">
        <x:v>Письма</x:v>
      </x:c>
      <x:c r="D110" s="2" t="str">
        <x:v>с нуля</x:v>
      </x:c>
      <x:c r="E110" s="2" t="n">
        <x:v>2</x:v>
      </x:c>
      <x:c r="F110" s="2" t="str">
        <x:v>нет</x:v>
      </x:c>
      <x:c r="G110" s="2" t="str">
        <x:v>Непонятно, какие функции требуют оплаты. Для меня это новый инструмент. Задание 109.</x:v>
      </x:c>
      <x:c r="H110" s="2"/>
      <x:c r="I110" s="2"/>
      <x:c r="J110" s="2"/>
      <x:c r="K110" s="2"/>
    </x:row>
    <x:row r="111" ht="26" customHeight="1">
      <x:c r="A111" s="2" t="str">
        <x:v>R110</x:v>
      </x:c>
      <x:c r="B111" s="7" t="d">
        <x:v>2026-09-26T00:00:00.000Z</x:v>
      </x:c>
      <x:c r="C111" s="2" t="str">
        <x:v>Презентации</x:v>
      </x:c>
      <x:c r="D111" s="2" t="str">
        <x:v>пробовал</x:v>
      </x:c>
      <x:c r="E111" s="2" t="n">
        <x:v>2</x:v>
      </x:c>
      <x:c r="F111" s="2" t="str">
        <x:v>нет</x:v>
      </x:c>
      <x:c r="G111" s="2" t="str">
        <x:v>Не нашёл файл с примером после занятия. Для меня это новый инструмент. Задание 110.</x:v>
      </x:c>
      <x:c r="H111" s="2"/>
      <x:c r="I111" s="2"/>
      <x:c r="J111" s="2"/>
      <x:c r="K111" s="2"/>
    </x:row>
    <x:row r="112" ht="26" customHeight="1">
      <x:c r="A112" s="2" t="str">
        <x:v>R111</x:v>
      </x:c>
      <x:c r="B112" s="7" t="d">
        <x:v>2026-09-27T00:00:00.000Z</x:v>
      </x:c>
      <x:c r="C112" s="2" t="str">
        <x:v>Поиск</x:v>
      </x:c>
      <x:c r="D112" s="2" t="str">
        <x:v>использую</x:v>
      </x:c>
      <x:c r="E112" s="2" t="n">
        <x:v>2</x:v>
      </x:c>
      <x:c r="F112" s="2" t="str">
        <x:v>нет</x:v>
      </x:c>
      <x:c r="G112" s="2" t="str">
        <x:v>Не было слышно часть объяснения. Для меня это новый инструмент. Задание 111.</x:v>
      </x:c>
      <x:c r="H112" s="2"/>
      <x:c r="I112" s="2"/>
      <x:c r="J112" s="2"/>
      <x:c r="K112" s="2"/>
    </x:row>
    <x:row r="113" ht="26" customHeight="1">
      <x:c r="A113" s="2" t="str">
        <x:v>R112</x:v>
      </x:c>
      <x:c r="B113" s="7" t="d">
        <x:v>2026-09-28T00:00:00.000Z</x:v>
      </x:c>
      <x:c r="C113" s="2" t="str">
        <x:v>Таблицы</x:v>
      </x:c>
      <x:c r="D113" s="2" t="str">
        <x:v>с нуля</x:v>
      </x:c>
      <x:c r="E113" s="2" t="n">
        <x:v>3</x:v>
      </x:c>
      <x:c r="F113" s="2" t="str">
        <x:v>нет</x:v>
      </x:c>
      <x:c r="G113" s="2" t="str">
        <x:v>Нормально. Для меня это новый инструмент. Задание 112.</x:v>
      </x:c>
      <x:c r="H113" s="2"/>
      <x:c r="I113" s="2"/>
      <x:c r="J113" s="2"/>
      <x:c r="K113" s="2"/>
    </x:row>
    <x:row r="114" ht="26" customHeight="1">
      <x:c r="A114" s="2" t="str">
        <x:v>R113</x:v>
      </x:c>
      <x:c r="B114" s="7" t="d">
        <x:v>2026-09-01T00:00:00.000Z</x:v>
      </x:c>
      <x:c r="C114" s="2" t="str">
        <x:v>Письма</x:v>
      </x:c>
      <x:c r="D114" s="2" t="str">
        <x:v>пробовал</x:v>
      </x:c>
      <x:c r="E114" s="2" t="n">
        <x:v>3</x:v>
      </x:c>
      <x:c r="F114" s="2" t="str">
        <x:v>нет</x:v>
      </x:c>
      <x:c r="G114" s="2" t="str">
        <x:v>Термины объяснили понятно, но часть шагов осталась неясной. Для меня это новый инструмент. Задание 113.</x:v>
      </x:c>
      <x:c r="H114" s="2"/>
      <x:c r="I114" s="2"/>
      <x:c r="J114" s="2"/>
      <x:c r="K114" s="2"/>
    </x:row>
    <x:row r="115" ht="26" customHeight="1">
      <x:c r="A115" s="2" t="str">
        <x:v>R114</x:v>
      </x:c>
      <x:c r="B115" s="7" t="d">
        <x:v>2026-09-02T00:00:00.000Z</x:v>
      </x:c>
      <x:c r="C115" s="2" t="str">
        <x:v>Презентации</x:v>
      </x:c>
      <x:c r="D115" s="2" t="str">
        <x:v>использую</x:v>
      </x:c>
      <x:c r="E115" s="2" t="n">
        <x:v>3</x:v>
      </x:c>
      <x:c r="F115" s="2" t="str">
        <x:v>нет</x:v>
      </x:c>
      <x:c r="G115" s="2" t="str">
        <x:v>Начало шло спокойно, а конец был слишком быстрым. Для меня это новый инструмент. Задание 114.</x:v>
      </x:c>
      <x:c r="H115" s="2"/>
      <x:c r="I115" s="2"/>
      <x:c r="J115" s="2"/>
      <x:c r="K115" s="2"/>
    </x:row>
    <x:row r="116" ht="26" customHeight="1">
      <x:c r="A116" s="2" t="str">
        <x:v>R115</x:v>
      </x:c>
      <x:c r="B116" s="7" t="d">
        <x:v>2026-09-03T00:00:00.000Z</x:v>
      </x:c>
      <x:c r="C116" s="2" t="str">
        <x:v>Поиск</x:v>
      </x:c>
      <x:c r="D116" s="2" t="str">
        <x:v>с нуля</x:v>
      </x:c>
      <x:c r="E116" s="2" t="n">
        <x:v>4</x:v>
      </x:c>
      <x:c r="F116" s="2" t="str">
        <x:v>да</x:v>
      </x:c>
      <x:c r="G116" s="2" t="str">
        <x:v>Примеры полезные, но хочу задание для своей работы. Для меня это новый инструмент. Задание 115.</x:v>
      </x:c>
      <x:c r="H116" s="2"/>
      <x:c r="I116" s="2"/>
      <x:c r="J116" s="2"/>
      <x:c r="K116" s="2"/>
    </x:row>
    <x:row r="117" ht="26" customHeight="1">
      <x:c r="A117" s="2" t="str">
        <x:v>R116</x:v>
      </x:c>
      <x:c r="B117" s="7" t="d">
        <x:v>2026-09-04T00:00:00.000Z</x:v>
      </x:c>
      <x:c r="C117" s="2" t="str">
        <x:v>Таблицы</x:v>
      </x:c>
      <x:c r="D117" s="2" t="str">
        <x:v>пробовал</x:v>
      </x:c>
      <x:c r="E117" s="2" t="n">
        <x:v>4</x:v>
      </x:c>
      <x:c r="F117" s="2" t="str">
        <x:v>да</x:v>
      </x:c>
      <x:c r="G117" s="2" t="str">
        <x:v>Сначала не смог войти, потом помог резервный способ. Для меня это новый инструмент. Задание 116.</x:v>
      </x:c>
      <x:c r="H117" s="2"/>
      <x:c r="I117" s="2"/>
      <x:c r="J117" s="2"/>
      <x:c r="K117" s="2"/>
    </x:row>
    <x:row r="118" ht="26" customHeight="1">
      <x:c r="A118" s="2" t="str">
        <x:v>R117</x:v>
      </x:c>
      <x:c r="B118" s="7" t="d">
        <x:v>2026-09-05T00:00:00.000Z</x:v>
      </x:c>
      <x:c r="C118" s="2" t="str">
        <x:v>Письма</x:v>
      </x:c>
      <x:c r="D118" s="2" t="str">
        <x:v>использую</x:v>
      </x:c>
      <x:c r="E118" s="2" t="n">
        <x:v>3</x:v>
      </x:c>
      <x:c r="F118" s="2" t="str">
        <x:v>нет</x:v>
      </x:c>
      <x:c r="G118" s="2" t="str">
        <x:v>Бесплатного режима хватило для примера, но дальше есть ограничения. Для меня это новый инструмент. Задание 117.</x:v>
      </x:c>
      <x:c r="H118" s="2"/>
      <x:c r="I118" s="2"/>
      <x:c r="J118" s="2"/>
      <x:c r="K118" s="2"/>
    </x:row>
    <x:row r="119" ht="26" customHeight="1">
      <x:c r="A119" s="2" t="str">
        <x:v>R118</x:v>
      </x:c>
      <x:c r="B119" s="7" t="d">
        <x:v>2026-09-06T00:00:00.000Z</x:v>
      </x:c>
      <x:c r="C119" s="2" t="str">
        <x:v>Презентации</x:v>
      </x:c>
      <x:c r="D119" s="2" t="str">
        <x:v>с нуля</x:v>
      </x:c>
      <x:c r="E119" s="2" t="n">
        <x:v>4</x:v>
      </x:c>
      <x:c r="F119" s="2" t="str">
        <x:v>да</x:v>
      </x:c>
      <x:c r="G119" s="2" t="str">
        <x:v>Запись полезная, хотелось бы добавить таймкоды. Для меня это новый инструмент. Задание 118.</x:v>
      </x:c>
      <x:c r="H119" s="2"/>
      <x:c r="I119" s="2"/>
      <x:c r="J119" s="2"/>
      <x:c r="K119" s="2"/>
    </x:row>
    <x:row r="120" ht="26" customHeight="1">
      <x:c r="A120" s="2" t="str">
        <x:v>R119</x:v>
      </x:c>
      <x:c r="B120" s="7" t="d">
        <x:v>2026-09-07T00:00:00.000Z</x:v>
      </x:c>
      <x:c r="C120" s="2" t="str">
        <x:v>Поиск</x:v>
      </x:c>
      <x:c r="D120" s="2" t="str">
        <x:v>пробовал</x:v>
      </x:c>
      <x:c r="E120" s="2" t="n">
        <x:v>3</x:v>
      </x:c>
      <x:c r="F120" s="2" t="str">
        <x:v>нет</x:v>
      </x:c>
      <x:c r="G120" s="2" t="str">
        <x:v>Подключился легко, но вопросы в чате остались без ответа. Для меня это новый инструмент. Задание 119.</x:v>
      </x:c>
      <x:c r="H120" s="2"/>
      <x:c r="I120" s="2"/>
      <x:c r="J120" s="2"/>
      <x:c r="K120" s="2"/>
    </x:row>
    <x:row r="121" ht="26" customHeight="1">
      <x:c r="A121" s="2" t="str">
        <x:v>R120</x:v>
      </x:c>
      <x:c r="B121" s="7" t="d">
        <x:v>2026-09-08T00:00:00.000Z</x:v>
      </x:c>
      <x:c r="C121" s="2" t="str">
        <x:v>Таблицы</x:v>
      </x:c>
      <x:c r="D121" s="2" t="str">
        <x:v>использую</x:v>
      </x:c>
      <x:c r="E121" s="2" t="n">
        <x:v>3</x:v>
      </x:c>
      <x:c r="F121" s="2" t="str">
        <x:v>нет</x:v>
      </x:c>
      <x:c r="G121" s="2" t="str">
        <x:v>Пока не решил, где буду это применять. Для меня это новый инструмент. Задание 120.</x:v>
      </x:c>
      <x:c r="H121" s="2"/>
      <x:c r="I121" s="2"/>
      <x:c r="J121" s="2"/>
      <x:c r="K121" s="2"/>
    </x:row>
    <x:row r="122" ht="26" customHeight="1">
      <x:c r="A122" s="2" t="str">
        <x:v>R121</x:v>
      </x:c>
      <x:c r="B122" s="7" t="d">
        <x:v>2026-09-09T00:00:00.000Z</x:v>
      </x:c>
      <x:c r="C122" s="2" t="str">
        <x:v>Письма</x:v>
      </x:c>
      <x:c r="D122" s="2" t="str">
        <x:v>с нуля</x:v>
      </x:c>
      <x:c r="E122" s="2" t="n">
        <x:v>5</x:v>
      </x:c>
      <x:c r="F122" s="2" t="str">
        <x:v>да</x:v>
      </x:c>
      <x:c r="G122" s="2" t="str">
        <x:v>Объяснение стало понятным после примера. Хочу вернуться к этому примеру. Задание 121.</x:v>
      </x:c>
      <x:c r="H122" s="2"/>
      <x:c r="I122" s="2"/>
      <x:c r="J122" s="2"/>
      <x:c r="K122" s="2"/>
    </x:row>
    <x:row r="123" ht="26" customHeight="1">
      <x:c r="A123" s="2" t="str">
        <x:v>R122</x:v>
      </x:c>
      <x:c r="B123" s="7" t="d">
        <x:v>2026-09-10T00:00:00.000Z</x:v>
      </x:c>
      <x:c r="C123" s="2" t="str">
        <x:v>Презентации</x:v>
      </x:c>
      <x:c r="D123" s="2" t="str">
        <x:v>пробовал</x:v>
      </x:c>
      <x:c r="E123" s="2" t="n">
        <x:v>5</x:v>
      </x:c>
      <x:c r="F123" s="2" t="str">
        <x:v>да</x:v>
      </x:c>
      <x:c r="G123" s="2" t="str">
        <x:v>Успевал повторять действия на экране. Хочу вернуться к этому примеру. Задание 122.</x:v>
      </x:c>
      <x:c r="H123" s="2"/>
      <x:c r="I123" s="2"/>
      <x:c r="J123" s="2"/>
      <x:c r="K123" s="2"/>
    </x:row>
    <x:row r="124" ht="26" customHeight="1">
      <x:c r="A124" s="2" t="str">
        <x:v>R123</x:v>
      </x:c>
      <x:c r="B124" s="7" t="d">
        <x:v>2026-09-11T00:00:00.000Z</x:v>
      </x:c>
      <x:c r="C124" s="2" t="str">
        <x:v>Поиск</x:v>
      </x:c>
      <x:c r="D124" s="2" t="str">
        <x:v>использую</x:v>
      </x:c>
      <x:c r="E124" s="2" t="n">
        <x:v>5</x:v>
      </x:c>
      <x:c r="F124" s="2" t="str">
        <x:v>да</x:v>
      </x:c>
      <x:c r="G124" s="2" t="str">
        <x:v>Сам сделал письмо клиенту по образцу. Хочу вернуться к этому примеру. Задание 123.</x:v>
      </x:c>
      <x:c r="H124" s="2"/>
      <x:c r="I124" s="2"/>
      <x:c r="J124" s="2"/>
      <x:c r="K124" s="2"/>
    </x:row>
    <x:row r="125" ht="26" customHeight="1">
      <x:c r="A125" s="2" t="str">
        <x:v>R124</x:v>
      </x:c>
      <x:c r="B125" s="7" t="d">
        <x:v>2026-09-12T00:00:00.000Z</x:v>
      </x:c>
      <x:c r="C125" s="2" t="str">
        <x:v>Таблицы</x:v>
      </x:c>
      <x:c r="D125" s="2" t="str">
        <x:v>с нуля</x:v>
      </x:c>
      <x:c r="E125" s="2" t="n">
        <x:v>5</x:v>
      </x:c>
      <x:c r="F125" s="2" t="str">
        <x:v>да</x:v>
      </x:c>
      <x:c r="G125" s="2" t="str">
        <x:v>Получилось войти в сервис и выполнить задание. Хочу вернуться к этому примеру. Задание 124.</x:v>
      </x:c>
      <x:c r="H125" s="2"/>
      <x:c r="I125" s="2"/>
      <x:c r="J125" s="2"/>
      <x:c r="K125" s="2"/>
    </x:row>
    <x:row r="126" ht="26" customHeight="1">
      <x:c r="A126" s="2" t="str">
        <x:v>R125</x:v>
      </x:c>
      <x:c r="B126" s="7" t="d">
        <x:v>2026-09-13T00:00:00.000Z</x:v>
      </x:c>
      <x:c r="C126" s="2" t="str">
        <x:v>Письма</x:v>
      </x:c>
      <x:c r="D126" s="2" t="str">
        <x:v>пробовал</x:v>
      </x:c>
      <x:c r="E126" s="2" t="n">
        <x:v>5</x:v>
      </x:c>
      <x:c r="F126" s="2" t="str">
        <x:v>да</x:v>
      </x:c>
      <x:c r="G126" s="2" t="str">
        <x:v>Нашёл подходящий бесплатный инструмент. Хочу вернуться к этому примеру. Задание 125.</x:v>
      </x:c>
      <x:c r="H126" s="2"/>
      <x:c r="I126" s="2"/>
      <x:c r="J126" s="2"/>
      <x:c r="K126" s="2"/>
    </x:row>
    <x:row r="127" ht="26" customHeight="1">
      <x:c r="A127" s="2" t="str">
        <x:v>R126</x:v>
      </x:c>
      <x:c r="B127" s="7" t="d">
        <x:v>2026-09-14T00:00:00.000Z</x:v>
      </x:c>
      <x:c r="C127" s="2" t="str">
        <x:v>Презентации</x:v>
      </x:c>
      <x:c r="D127" s="2" t="str">
        <x:v>использую</x:v>
      </x:c>
      <x:c r="E127" s="2" t="n">
        <x:v>5</x:v>
      </x:c>
      <x:c r="F127" s="2" t="str">
        <x:v>да</x:v>
      </x:c>
      <x:c r="G127" s="2" t="str">
        <x:v>Сохранил памятку и повторил по ней шаги. Хочу вернуться к этому примеру. Задание 126.</x:v>
      </x:c>
      <x:c r="H127" s="2"/>
      <x:c r="I127" s="2"/>
      <x:c r="J127" s="2"/>
      <x:c r="K127" s="2"/>
    </x:row>
    <x:row r="128" ht="26" customHeight="1">
      <x:c r="A128" s="2" t="str">
        <x:v>R127</x:v>
      </x:c>
      <x:c r="B128" s="7" t="d">
        <x:v>2026-09-15T00:00:00.000Z</x:v>
      </x:c>
      <x:c r="C128" s="2" t="str">
        <x:v>Поиск</x:v>
      </x:c>
      <x:c r="D128" s="2" t="str">
        <x:v>с нуля</x:v>
      </x:c>
      <x:c r="E128" s="2" t="n">
        <x:v>5</x:v>
      </x:c>
      <x:c r="F128" s="2" t="str">
        <x:v>да</x:v>
      </x:c>
      <x:c r="G128" s="2" t="str">
        <x:v>Ссылка пришла вовремя, звук был хороший. Хочу вернуться к этому примеру. Задание 127.</x:v>
      </x:c>
      <x:c r="H128" s="2"/>
      <x:c r="I128" s="2"/>
      <x:c r="J128" s="2"/>
      <x:c r="K128" s="2"/>
    </x:row>
    <x:row r="129" ht="26" customHeight="1">
      <x:c r="A129" s="2" t="str">
        <x:v>R128</x:v>
      </x:c>
      <x:c r="B129" s="7" t="d">
        <x:v>2026-09-16T00:00:00.000Z</x:v>
      </x:c>
      <x:c r="C129" s="2" t="str">
        <x:v>Таблицы</x:v>
      </x:c>
      <x:c r="D129" s="2" t="str">
        <x:v>пробовал</x:v>
      </x:c>
      <x:c r="E129" s="2" t="n">
        <x:v>5</x:v>
      </x:c>
      <x:c r="F129" s="2" t="str">
        <x:v>да</x:v>
      </x:c>
      <x:c r="G129" s="2" t="str">
        <x:v>Спасибо за занятие. Хочу вернуться к этому примеру. Задание 128.</x:v>
      </x:c>
      <x:c r="H129" s="2"/>
      <x:c r="I129" s="2"/>
      <x:c r="J129" s="2"/>
      <x:c r="K129" s="2"/>
    </x:row>
    <x:row r="130" ht="26" customHeight="1">
      <x:c r="A130" s="2" t="str">
        <x:v>R129</x:v>
      </x:c>
      <x:c r="B130" s="7" t="d">
        <x:v>2026-09-17T00:00:00.000Z</x:v>
      </x:c>
      <x:c r="C130" s="2" t="str">
        <x:v>Письма</x:v>
      </x:c>
      <x:c r="D130" s="2" t="str">
        <x:v>использую</x:v>
      </x:c>
      <x:c r="E130" s="2" t="n">
        <x:v>2</x:v>
      </x:c>
      <x:c r="F130" s="2" t="str">
        <x:v>нет</x:v>
      </x:c>
      <x:c r="G130" s="2" t="str">
        <x:v>Не понял разницу между задачей и запросом. Хочу вернуться к этому примеру. Задание 129.</x:v>
      </x:c>
      <x:c r="H130" s="2"/>
      <x:c r="I130" s="2"/>
      <x:c r="J130" s="2"/>
      <x:c r="K130" s="2"/>
    </x:row>
    <x:row r="131" ht="26" customHeight="1">
      <x:c r="A131" s="2" t="str">
        <x:v>R130</x:v>
      </x:c>
      <x:c r="B131" s="7" t="d">
        <x:v>2026-09-18T00:00:00.000Z</x:v>
      </x:c>
      <x:c r="C131" s="2" t="str">
        <x:v>Презентации</x:v>
      </x:c>
      <x:c r="D131" s="2" t="str">
        <x:v>с нуля</x:v>
      </x:c>
      <x:c r="E131" s="2" t="n">
        <x:v>2</x:v>
      </x:c>
      <x:c r="F131" s="2" t="str">
        <x:v>нет</x:v>
      </x:c>
      <x:c r="G131" s="2" t="str">
        <x:v>Слишком быстро переключались между окнами. Хочу вернуться к этому примеру. Задание 130.</x:v>
      </x:c>
      <x:c r="H131" s="2"/>
      <x:c r="I131" s="2"/>
      <x:c r="J131" s="2"/>
      <x:c r="K131" s="2"/>
    </x:row>
    <x:row r="132" ht="26" customHeight="1">
      <x:c r="A132" s="2" t="str">
        <x:v>R131</x:v>
      </x:c>
      <x:c r="B132" s="7" t="d">
        <x:v>2026-09-19T00:00:00.000Z</x:v>
      </x:c>
      <x:c r="C132" s="2" t="str">
        <x:v>Поиск</x:v>
      </x:c>
      <x:c r="D132" s="2" t="str">
        <x:v>пробовал</x:v>
      </x:c>
      <x:c r="E132" s="2" t="n">
        <x:v>2</x:v>
      </x:c>
      <x:c r="F132" s="2" t="str">
        <x:v>нет</x:v>
      </x:c>
      <x:c r="G132" s="2" t="str">
        <x:v>Не хватило самостоятельной практики. Хочу вернуться к этому примеру. Задание 131.</x:v>
      </x:c>
      <x:c r="H132" s="2"/>
      <x:c r="I132" s="2"/>
      <x:c r="J132" s="2"/>
      <x:c r="K132" s="2"/>
    </x:row>
    <x:row r="133" ht="26" customHeight="1">
      <x:c r="A133" s="2" t="str">
        <x:v>R132</x:v>
      </x:c>
      <x:c r="B133" s="7" t="d">
        <x:v>2026-09-20T00:00:00.000Z</x:v>
      </x:c>
      <x:c r="C133" s="2" t="str">
        <x:v>Таблицы</x:v>
      </x:c>
      <x:c r="D133" s="2" t="str">
        <x:v>использую</x:v>
      </x:c>
      <x:c r="E133" s="2" t="n">
        <x:v>2</x:v>
      </x:c>
      <x:c r="F133" s="2" t="str">
        <x:v>нет</x:v>
      </x:c>
      <x:c r="G133" s="2" t="str">
        <x:v>Не удалось зарегистрироваться в сервисе. Хочу вернуться к этому примеру. Задание 132.</x:v>
      </x:c>
      <x:c r="H133" s="2"/>
      <x:c r="I133" s="2"/>
      <x:c r="J133" s="2"/>
      <x:c r="K133" s="2"/>
    </x:row>
    <x:row r="134" ht="26" customHeight="1">
      <x:c r="A134" s="2" t="str">
        <x:v>R133</x:v>
      </x:c>
      <x:c r="B134" s="7" t="d">
        <x:v>2026-09-21T00:00:00.000Z</x:v>
      </x:c>
      <x:c r="C134" s="2" t="str">
        <x:v>Письма</x:v>
      </x:c>
      <x:c r="D134" s="2" t="str">
        <x:v>с нуля</x:v>
      </x:c>
      <x:c r="E134" s="2" t="n">
        <x:v>0</x:v>
      </x:c>
      <x:c r="F134" s="2" t="str">
        <x:v>нет</x:v>
      </x:c>
      <x:c r="G134" s="2" t="str">
        <x:v>Непонятно, какие функции требуют оплаты. Хочу вернуться к этому примеру. Задание 133.</x:v>
      </x:c>
      <x:c r="H134" s="2"/>
      <x:c r="I134" s="2"/>
      <x:c r="J134" s="2"/>
      <x:c r="K134" s="2"/>
    </x:row>
    <x:row r="135" ht="26" customHeight="1">
      <x:c r="A135" s="2" t="str">
        <x:v>R134</x:v>
      </x:c>
      <x:c r="B135" s="7" t="d">
        <x:v>2026-09-22T00:00:00.000Z</x:v>
      </x:c>
      <x:c r="C135" s="2" t="str">
        <x:v>Презентации</x:v>
      </x:c>
      <x:c r="D135" s="2" t="str">
        <x:v>пробовал</x:v>
      </x:c>
      <x:c r="E135" s="2" t="n">
        <x:v>2</x:v>
      </x:c>
      <x:c r="F135" s="2" t="str">
        <x:v>нет</x:v>
      </x:c>
      <x:c r="G135" s="2" t="str">
        <x:v>Не нашёл файл с примером после занятия. Хочу вернуться к этому примеру. Задание 134.</x:v>
      </x:c>
      <x:c r="H135" s="2"/>
      <x:c r="I135" s="2"/>
      <x:c r="J135" s="2"/>
      <x:c r="K135" s="2"/>
    </x:row>
    <x:row r="136" ht="26" customHeight="1">
      <x:c r="A136" s="2" t="str">
        <x:v>R135</x:v>
      </x:c>
      <x:c r="B136" s="7" t="d">
        <x:v>2026-09-23T00:00:00.000Z</x:v>
      </x:c>
      <x:c r="C136" s="2" t="str">
        <x:v>Поиск</x:v>
      </x:c>
      <x:c r="D136" s="2" t="str">
        <x:v>использую</x:v>
      </x:c>
      <x:c r="E136" s="2" t="n">
        <x:v>2</x:v>
      </x:c>
      <x:c r="F136" s="2" t="str">
        <x:v>нет</x:v>
      </x:c>
      <x:c r="G136" s="2" t="str">
        <x:v>Не было слышно часть объяснения. Хочу вернуться к этому примеру. Задание 135.</x:v>
      </x:c>
      <x:c r="H136" s="2"/>
      <x:c r="I136" s="2"/>
      <x:c r="J136" s="2"/>
      <x:c r="K136" s="2"/>
    </x:row>
    <x:row r="137" ht="26" customHeight="1">
      <x:c r="A137" s="2" t="str">
        <x:v>R136</x:v>
      </x:c>
      <x:c r="B137" s="7" t="d">
        <x:v>2026-09-24T00:00:00.000Z</x:v>
      </x:c>
      <x:c r="C137" s="2" t="str">
        <x:v>Таблицы</x:v>
      </x:c>
      <x:c r="D137" s="2" t="str">
        <x:v>с нуля</x:v>
      </x:c>
      <x:c r="E137" s="2" t="n">
        <x:v>3</x:v>
      </x:c>
      <x:c r="F137" s="2" t="str">
        <x:v>нет</x:v>
      </x:c>
      <x:c r="G137" s="2" t="str">
        <x:v>Нормально. Хочу вернуться к этому примеру. Задание 136.</x:v>
      </x:c>
      <x:c r="H137" s="2"/>
      <x:c r="I137" s="2"/>
      <x:c r="J137" s="2"/>
      <x:c r="K137" s="2"/>
    </x:row>
    <x:row r="138" ht="26" customHeight="1">
      <x:c r="A138" s="2" t="str">
        <x:v>R137</x:v>
      </x:c>
      <x:c r="B138" s="7" t="d">
        <x:v>2026-09-25T00:00:00.000Z</x:v>
      </x:c>
      <x:c r="C138" s="2" t="str">
        <x:v>Письма</x:v>
      </x:c>
      <x:c r="D138" s="2" t="str">
        <x:v>пробовал</x:v>
      </x:c>
      <x:c r="E138" s="2" t="n">
        <x:v>3</x:v>
      </x:c>
      <x:c r="F138" s="2" t="str">
        <x:v>нет</x:v>
      </x:c>
      <x:c r="G138" s="2" t="str">
        <x:v>Термины объяснили понятно, но часть шагов осталась неясной. Хочу вернуться к этому примеру. Задание 137.</x:v>
      </x:c>
      <x:c r="H138" s="2"/>
      <x:c r="I138" s="2"/>
      <x:c r="J138" s="2"/>
      <x:c r="K138" s="2"/>
    </x:row>
    <x:row r="139" ht="26" customHeight="1">
      <x:c r="A139" s="2" t="str">
        <x:v>R138</x:v>
      </x:c>
      <x:c r="B139" s="7" t="d">
        <x:v>2026-09-26T00:00:00.000Z</x:v>
      </x:c>
      <x:c r="C139" s="2" t="str">
        <x:v>Презентации</x:v>
      </x:c>
      <x:c r="D139" s="2" t="str">
        <x:v>использую</x:v>
      </x:c>
      <x:c r="E139" s="2" t="n">
        <x:v>3</x:v>
      </x:c>
      <x:c r="F139" s="2" t="str">
        <x:v>нет</x:v>
      </x:c>
      <x:c r="G139" s="2" t="str">
        <x:v>Начало шло спокойно, а конец был слишком быстрым. Хочу вернуться к этому примеру. Задание 138.</x:v>
      </x:c>
      <x:c r="H139" s="2"/>
      <x:c r="I139" s="2"/>
      <x:c r="J139" s="2"/>
      <x:c r="K139" s="2"/>
    </x:row>
    <x:row r="140" ht="26" customHeight="1">
      <x:c r="A140" s="2" t="str">
        <x:v>R139</x:v>
      </x:c>
      <x:c r="B140" s="7" t="d">
        <x:v>2026-09-27T00:00:00.000Z</x:v>
      </x:c>
      <x:c r="C140" s="2" t="str">
        <x:v>Поиск</x:v>
      </x:c>
      <x:c r="D140" s="2" t="str">
        <x:v>с нуля</x:v>
      </x:c>
      <x:c r="E140" s="2" t="n">
        <x:v>4</x:v>
      </x:c>
      <x:c r="F140" s="2" t="str">
        <x:v>да</x:v>
      </x:c>
      <x:c r="G140" s="2" t="str">
        <x:v>Примеры полезные, но хочу задание для своей работы. Хочу вернуться к этому примеру. Задание 139.</x:v>
      </x:c>
      <x:c r="H140" s="2"/>
      <x:c r="I140" s="2"/>
      <x:c r="J140" s="2"/>
      <x:c r="K140" s="2"/>
    </x:row>
    <x:row r="141" ht="26" customHeight="1">
      <x:c r="A141" s="2" t="str">
        <x:v>R140</x:v>
      </x:c>
      <x:c r="B141" s="7" t="d">
        <x:v>2026-09-28T00:00:00.000Z</x:v>
      </x:c>
      <x:c r="C141" s="2" t="str">
        <x:v>Таблицы</x:v>
      </x:c>
      <x:c r="D141" s="2" t="str">
        <x:v>пробовал</x:v>
      </x:c>
      <x:c r="E141" s="2" t="n">
        <x:v>4</x:v>
      </x:c>
      <x:c r="F141" s="2" t="str">
        <x:v>да</x:v>
      </x:c>
      <x:c r="G141" s="2" t="str">
        <x:v>Сначала не смог войти, потом помог резервный способ. Хочу вернуться к этому примеру. Задание 140.</x:v>
      </x:c>
      <x:c r="H141" s="2"/>
      <x:c r="I141" s="2"/>
      <x:c r="J141" s="2"/>
      <x:c r="K141" s="2"/>
    </x:row>
    <x:row r="142" ht="26" customHeight="1">
      <x:c r="A142" s="2" t="str">
        <x:v>R141</x:v>
      </x:c>
      <x:c r="B142" s="7" t="d">
        <x:v>2026-09-01T00:00:00.000Z</x:v>
      </x:c>
      <x:c r="C142" s="2" t="str">
        <x:v>Письма</x:v>
      </x:c>
      <x:c r="D142" s="2" t="str">
        <x:v>использую</x:v>
      </x:c>
      <x:c r="E142" s="2" t="n">
        <x:v>3</x:v>
      </x:c>
      <x:c r="F142" s="2" t="str">
        <x:v>нет</x:v>
      </x:c>
      <x:c r="G142" s="2" t="str">
        <x:v>Бесплатного режима хватило для примера, но дальше есть ограничения. Хочу вернуться к этому примеру. Задание 141.</x:v>
      </x:c>
      <x:c r="H142" s="2"/>
      <x:c r="I142" s="2"/>
      <x:c r="J142" s="2"/>
      <x:c r="K142" s="2"/>
    </x:row>
    <x:row r="143" ht="26" customHeight="1">
      <x:c r="A143" s="2" t="str">
        <x:v>R142</x:v>
      </x:c>
      <x:c r="B143" s="7" t="d">
        <x:v>2026-09-02T00:00:00.000Z</x:v>
      </x:c>
      <x:c r="C143" s="2" t="str">
        <x:v>Презентации</x:v>
      </x:c>
      <x:c r="D143" s="2" t="str">
        <x:v>с нуля</x:v>
      </x:c>
      <x:c r="E143" s="2" t="n">
        <x:v>4</x:v>
      </x:c>
      <x:c r="F143" s="2" t="str">
        <x:v>да</x:v>
      </x:c>
      <x:c r="G143" s="2" t="str">
        <x:v>Запись полезная, хотелось бы добавить таймкоды. Хочу вернуться к этому примеру. Задание 142.</x:v>
      </x:c>
      <x:c r="H143" s="2"/>
      <x:c r="I143" s="2"/>
      <x:c r="J143" s="2"/>
      <x:c r="K143" s="2"/>
    </x:row>
    <x:row r="144" ht="26" customHeight="1">
      <x:c r="A144" s="2" t="str">
        <x:v>R143</x:v>
      </x:c>
      <x:c r="B144" s="7" t="d">
        <x:v>2026-09-03T00:00:00.000Z</x:v>
      </x:c>
      <x:c r="C144" s="2" t="str">
        <x:v>Поиск</x:v>
      </x:c>
      <x:c r="D144" s="2" t="str">
        <x:v>пробовал</x:v>
      </x:c>
      <x:c r="E144" s="2" t="n">
        <x:v>3</x:v>
      </x:c>
      <x:c r="F144" s="2" t="str">
        <x:v>нет</x:v>
      </x:c>
      <x:c r="G144" s="2" t="str">
        <x:v>Подключился легко, но вопросы в чате остались без ответа. Хочу вернуться к этому примеру. Задание 143.</x:v>
      </x:c>
      <x:c r="H144" s="2"/>
      <x:c r="I144" s="2"/>
      <x:c r="J144" s="2"/>
      <x:c r="K144" s="2"/>
    </x:row>
    <x:row r="145" ht="26" customHeight="1">
      <x:c r="A145" s="2" t="str">
        <x:v>R144</x:v>
      </x:c>
      <x:c r="B145" s="7" t="d">
        <x:v>2026-09-04T00:00:00.000Z</x:v>
      </x:c>
      <x:c r="C145" s="2" t="str">
        <x:v>Таблицы</x:v>
      </x:c>
      <x:c r="D145" s="2" t="str">
        <x:v>использую</x:v>
      </x:c>
      <x:c r="E145" s="2" t="n">
        <x:v>3</x:v>
      </x:c>
      <x:c r="F145" s="2" t="str">
        <x:v>нет</x:v>
      </x:c>
      <x:c r="G145" s="2" t="str">
        <x:v>Пока не решил, где буду это применять. Хочу вернуться к этому примеру. Задание 144.</x:v>
      </x:c>
      <x:c r="H145" s="2"/>
      <x:c r="I145" s="2"/>
      <x:c r="J145" s="2"/>
      <x:c r="K145" s="2"/>
    </x:row>
    <x:row r="146" ht="26" customHeight="1">
      <x:c r="A146" s="2" t="str">
        <x:v>R145</x:v>
      </x:c>
      <x:c r="B146" s="7" t="d">
        <x:v>2026-09-05T00:00:00.000Z</x:v>
      </x:c>
      <x:c r="C146" s="2" t="str">
        <x:v>Письма</x:v>
      </x:c>
      <x:c r="D146" s="2" t="str">
        <x:v>с нуля</x:v>
      </x:c>
      <x:c r="E146" s="2" t="n">
        <x:v>5</x:v>
      </x:c>
      <x:c r="F146" s="2" t="str">
        <x:v>да</x:v>
      </x:c>
      <x:c r="G146" s="2" t="str">
        <x:v>Объяснение стало понятным после примера. Сравнил со своим прошлым способом. Задание 145.</x:v>
      </x:c>
      <x:c r="H146" s="2"/>
      <x:c r="I146" s="2"/>
      <x:c r="J146" s="2"/>
      <x:c r="K146" s="2"/>
    </x:row>
    <x:row r="147" ht="26" customHeight="1">
      <x:c r="A147" s="2" t="str">
        <x:v>R146</x:v>
      </x:c>
      <x:c r="B147" s="7" t="d">
        <x:v>2026-09-06T00:00:00.000Z</x:v>
      </x:c>
      <x:c r="C147" s="2" t="str">
        <x:v>Презентации</x:v>
      </x:c>
      <x:c r="D147" s="2" t="str">
        <x:v>пробовал</x:v>
      </x:c>
      <x:c r="E147" s="2" t="n">
        <x:v>5</x:v>
      </x:c>
      <x:c r="F147" s="2" t="str">
        <x:v>да</x:v>
      </x:c>
      <x:c r="G147" s="2" t="str">
        <x:v>Успевал повторять действия на экране. Сравнил со своим прошлым способом. Задание 146.</x:v>
      </x:c>
      <x:c r="H147" s="2"/>
      <x:c r="I147" s="2"/>
      <x:c r="J147" s="2"/>
      <x:c r="K147" s="2"/>
    </x:row>
    <x:row r="148" ht="26" customHeight="1">
      <x:c r="A148" s="2" t="str">
        <x:v>R147</x:v>
      </x:c>
      <x:c r="B148" s="7" t="d">
        <x:v>2026-09-07T00:00:00.000Z</x:v>
      </x:c>
      <x:c r="C148" s="2" t="str">
        <x:v>Поиск</x:v>
      </x:c>
      <x:c r="D148" s="2" t="str">
        <x:v>использую</x:v>
      </x:c>
      <x:c r="E148" s="2" t="n">
        <x:v>5</x:v>
      </x:c>
      <x:c r="F148" s="2" t="str">
        <x:v>да</x:v>
      </x:c>
      <x:c r="G148" s="2" t="str">
        <x:v>Сам сделал письмо клиенту по образцу. Сравнил со своим прошлым способом. Задание 147.</x:v>
      </x:c>
      <x:c r="H148" s="2"/>
      <x:c r="I148" s="2"/>
      <x:c r="J148" s="2"/>
      <x:c r="K148" s="2"/>
    </x:row>
    <x:row r="149" ht="26" customHeight="1">
      <x:c r="A149" s="2" t="str">
        <x:v>R148</x:v>
      </x:c>
      <x:c r="B149" s="7" t="d">
        <x:v>2026-09-08T00:00:00.000Z</x:v>
      </x:c>
      <x:c r="C149" s="2" t="str">
        <x:v>Таблицы</x:v>
      </x:c>
      <x:c r="D149" s="2" t="str">
        <x:v>с нуля</x:v>
      </x:c>
      <x:c r="E149" s="2" t="n">
        <x:v>5</x:v>
      </x:c>
      <x:c r="F149" s="2" t="str">
        <x:v>да</x:v>
      </x:c>
      <x:c r="G149" s="2" t="str">
        <x:v>Получилось войти в сервис и выполнить задание. Сравнил со своим прошлым способом. Задание 148.</x:v>
      </x:c>
      <x:c r="H149" s="2"/>
      <x:c r="I149" s="2"/>
      <x:c r="J149" s="2"/>
      <x:c r="K149" s="2"/>
    </x:row>
    <x:row r="150" ht="26" customHeight="1">
      <x:c r="A150" s="2" t="str">
        <x:v>R149</x:v>
      </x:c>
      <x:c r="B150" s="7" t="d">
        <x:v>2026-09-09T00:00:00.000Z</x:v>
      </x:c>
      <x:c r="C150" s="2" t="str">
        <x:v>Письма</x:v>
      </x:c>
      <x:c r="D150" s="2" t="str">
        <x:v>пробовал</x:v>
      </x:c>
      <x:c r="E150" s="2" t="n">
        <x:v>5</x:v>
      </x:c>
      <x:c r="F150" s="2" t="str">
        <x:v>да</x:v>
      </x:c>
      <x:c r="G150" s="2" t="str">
        <x:v>Нашёл подходящий бесплатный инструмент. Сравнил со своим прошлым способом. Задание 149.</x:v>
      </x:c>
      <x:c r="H150" s="2"/>
      <x:c r="I150" s="2"/>
      <x:c r="J150" s="2"/>
      <x:c r="K150" s="2"/>
    </x:row>
    <x:row r="151" ht="26" customHeight="1">
      <x:c r="A151" s="2" t="str">
        <x:v>R150</x:v>
      </x:c>
      <x:c r="B151" s="7" t="d">
        <x:v>2026-09-10T00:00:00.000Z</x:v>
      </x:c>
      <x:c r="C151" s="2" t="str">
        <x:v>Презентации</x:v>
      </x:c>
      <x:c r="D151" s="2" t="str">
        <x:v>использую</x:v>
      </x:c>
      <x:c r="E151" s="2" t="n">
        <x:v>5</x:v>
      </x:c>
      <x:c r="F151" s="2" t="str">
        <x:v>да</x:v>
      </x:c>
      <x:c r="G151" s="2" t="str">
        <x:v>Сохранил памятку и повторил по ней шаги. Сравнил со своим прошлым способом. Задание 150.</x:v>
      </x:c>
      <x:c r="H151" s="2"/>
      <x:c r="I151" s="2"/>
      <x:c r="J151" s="2"/>
      <x:c r="K151" s="2"/>
    </x:row>
    <x:row r="152" ht="26" customHeight="1">
      <x:c r="A152" s="2" t="str">
        <x:v>R151</x:v>
      </x:c>
      <x:c r="B152" s="7" t="d">
        <x:v>2026-09-11T00:00:00.000Z</x:v>
      </x:c>
      <x:c r="C152" s="2" t="str">
        <x:v>Поиск</x:v>
      </x:c>
      <x:c r="D152" s="2" t="str">
        <x:v>с нуля</x:v>
      </x:c>
      <x:c r="E152" s="2" t="n">
        <x:v>5</x:v>
      </x:c>
      <x:c r="F152" s="2" t="str">
        <x:v>да</x:v>
      </x:c>
      <x:c r="G152" s="2" t="str">
        <x:v>Ссылка пришла вовремя, звук был хороший. Сравнил со своим прошлым способом. Задание 151.</x:v>
      </x:c>
      <x:c r="H152" s="2"/>
      <x:c r="I152" s="2"/>
      <x:c r="J152" s="2"/>
      <x:c r="K152" s="2"/>
    </x:row>
    <x:row r="153" ht="26" customHeight="1">
      <x:c r="A153" s="2" t="str">
        <x:v>R152</x:v>
      </x:c>
      <x:c r="B153" s="7" t="d">
        <x:v>2026-09-12T00:00:00.000Z</x:v>
      </x:c>
      <x:c r="C153" s="2" t="str">
        <x:v>Таблицы</x:v>
      </x:c>
      <x:c r="D153" s="2" t="str">
        <x:v>пробовал</x:v>
      </x:c>
      <x:c r="E153" s="2" t="n">
        <x:v>5</x:v>
      </x:c>
      <x:c r="F153" s="2" t="str">
        <x:v>да</x:v>
      </x:c>
      <x:c r="G153" s="2" t="str">
        <x:v>Спасибо за занятие. Сравнил со своим прошлым способом. Задание 152.</x:v>
      </x:c>
      <x:c r="H153" s="2"/>
      <x:c r="I153" s="2"/>
      <x:c r="J153" s="2"/>
      <x:c r="K153" s="2"/>
    </x:row>
    <x:row r="154" ht="26" customHeight="1">
      <x:c r="A154" s="2" t="str">
        <x:v>R153</x:v>
      </x:c>
      <x:c r="B154" s="7" t="d">
        <x:v>2026-09-13T00:00:00.000Z</x:v>
      </x:c>
      <x:c r="C154" s="2" t="str">
        <x:v>Письма</x:v>
      </x:c>
      <x:c r="D154" s="2" t="str">
        <x:v>использую</x:v>
      </x:c>
      <x:c r="E154" s="2" t="n">
        <x:v>2</x:v>
      </x:c>
      <x:c r="F154" s="2" t="str">
        <x:v>нет</x:v>
      </x:c>
      <x:c r="G154" s="2" t="str">
        <x:v>Не понял разницу между задачей и запросом. Сравнил со своим прошлым способом. Задание 153.</x:v>
      </x:c>
      <x:c r="H154" s="2"/>
      <x:c r="I154" s="2"/>
      <x:c r="J154" s="2"/>
      <x:c r="K154" s="2"/>
    </x:row>
    <x:row r="155" ht="26" customHeight="1">
      <x:c r="A155" s="2" t="str">
        <x:v>R154</x:v>
      </x:c>
      <x:c r="B155" s="7" t="d">
        <x:v>2026-09-14T00:00:00.000Z</x:v>
      </x:c>
      <x:c r="C155" s="2" t="str">
        <x:v>Презентации</x:v>
      </x:c>
      <x:c r="D155" s="2" t="str">
        <x:v>с нуля</x:v>
      </x:c>
      <x:c r="E155" s="2" t="n">
        <x:v>2</x:v>
      </x:c>
      <x:c r="F155" s="2" t="str">
        <x:v>нет</x:v>
      </x:c>
      <x:c r="G155" s="2" t="str">
        <x:v>Слишком быстро переключались между окнами. Сравнил со своим прошлым способом. Задание 154.</x:v>
      </x:c>
      <x:c r="H155" s="2"/>
      <x:c r="I155" s="2"/>
      <x:c r="J155" s="2"/>
      <x:c r="K155" s="2"/>
    </x:row>
    <x:row r="156" ht="26" customHeight="1">
      <x:c r="A156" s="2" t="str">
        <x:v>R155</x:v>
      </x:c>
      <x:c r="B156" s="7" t="d">
        <x:v>2026-09-15T00:00:00.000Z</x:v>
      </x:c>
      <x:c r="C156" s="2" t="str">
        <x:v>Поиск</x:v>
      </x:c>
      <x:c r="D156" s="2" t="str">
        <x:v>пробовал</x:v>
      </x:c>
      <x:c r="E156" s="2" t="n">
        <x:v>2</x:v>
      </x:c>
      <x:c r="F156" s="2" t="str">
        <x:v>нет</x:v>
      </x:c>
      <x:c r="G156" s="2" t="str">
        <x:v>Не хватило самостоятельной практики. Сравнил со своим прошлым способом. Задание 155.</x:v>
      </x:c>
      <x:c r="H156" s="2"/>
      <x:c r="I156" s="2"/>
      <x:c r="J156" s="2"/>
      <x:c r="K156" s="2"/>
    </x:row>
    <x:row r="157" ht="26" customHeight="1">
      <x:c r="A157" s="2" t="str">
        <x:v>R156</x:v>
      </x:c>
      <x:c r="B157" s="7" t="d">
        <x:v>2026-09-16T00:00:00.000Z</x:v>
      </x:c>
      <x:c r="C157" s="2" t="str">
        <x:v>Таблицы</x:v>
      </x:c>
      <x:c r="D157" s="2" t="str">
        <x:v>использую</x:v>
      </x:c>
      <x:c r="E157" s="2" t="n">
        <x:v>2</x:v>
      </x:c>
      <x:c r="F157" s="2" t="str">
        <x:v>нет</x:v>
      </x:c>
      <x:c r="G157" s="2" t="str">
        <x:v>Не удалось зарегистрироваться в сервисе. Сравнил со своим прошлым способом. Задание 156.</x:v>
      </x:c>
      <x:c r="H157" s="2"/>
      <x:c r="I157" s="2"/>
      <x:c r="J157" s="2"/>
      <x:c r="K157" s="2"/>
    </x:row>
    <x:row r="158" ht="26" customHeight="1">
      <x:c r="A158" s="2" t="str">
        <x:v>R157</x:v>
      </x:c>
      <x:c r="B158" s="7" t="d">
        <x:v>2026-09-17T00:00:00.000Z</x:v>
      </x:c>
      <x:c r="C158" s="2" t="str">
        <x:v>Письма</x:v>
      </x:c>
      <x:c r="D158" s="2" t="str">
        <x:v>с нуля</x:v>
      </x:c>
      <x:c r="E158" s="2" t="n">
        <x:v>2</x:v>
      </x:c>
      <x:c r="F158" s="2" t="str">
        <x:v>нет</x:v>
      </x:c>
      <x:c r="G158" s="2" t="str">
        <x:v>Непонятно, какие функции требуют оплаты. Сравнил со своим прошлым способом. Задание 157.</x:v>
      </x:c>
      <x:c r="H158" s="2"/>
      <x:c r="I158" s="2"/>
      <x:c r="J158" s="2"/>
      <x:c r="K158" s="2"/>
    </x:row>
    <x:row r="159" ht="26" customHeight="1">
      <x:c r="A159" s="2" t="str">
        <x:v>R158</x:v>
      </x:c>
      <x:c r="B159" s="7" t="d">
        <x:v>2026-09-18T00:00:00.000Z</x:v>
      </x:c>
      <x:c r="C159" s="2" t="str">
        <x:v>Презентации</x:v>
      </x:c>
      <x:c r="D159" s="2" t="str">
        <x:v>пробовал</x:v>
      </x:c>
      <x:c r="E159" s="2" t="n">
        <x:v>2</x:v>
      </x:c>
      <x:c r="F159" s="2" t="str">
        <x:v>нет</x:v>
      </x:c>
      <x:c r="G159" s="2" t="str">
        <x:v>Не нашёл файл с примером после занятия. Сравнил со своим прошлым способом. Задание 158.</x:v>
      </x:c>
      <x:c r="H159" s="2"/>
      <x:c r="I159" s="2"/>
      <x:c r="J159" s="2"/>
      <x:c r="K159" s="2"/>
    </x:row>
    <x:row r="160" ht="26" customHeight="1">
      <x:c r="A160" s="2" t="str">
        <x:v>R159</x:v>
      </x:c>
      <x:c r="B160" s="7" t="d">
        <x:v>2026-09-19T00:00:00.000Z</x:v>
      </x:c>
      <x:c r="C160" s="2" t="str">
        <x:v>Поиск</x:v>
      </x:c>
      <x:c r="D160" s="2" t="str">
        <x:v>использую</x:v>
      </x:c>
      <x:c r="E160" s="2" t="n">
        <x:v>2</x:v>
      </x:c>
      <x:c r="F160" s="2" t="str">
        <x:v>нет</x:v>
      </x:c>
      <x:c r="G160" s="2" t="str">
        <x:v>Не было слышно часть объяснения. Сравнил со своим прошлым способом. Задание 159.</x:v>
      </x:c>
      <x:c r="H160" s="2"/>
      <x:c r="I160" s="2"/>
      <x:c r="J160" s="2"/>
      <x:c r="K160" s="2"/>
    </x:row>
    <x:row r="161" ht="26" customHeight="1">
      <x:c r="A161" s="2" t="str">
        <x:v>R160</x:v>
      </x:c>
      <x:c r="B161" s="7" t="d">
        <x:v>2026-09-20T00:00:00.000Z</x:v>
      </x:c>
      <x:c r="C161" s="2" t="str">
        <x:v>Таблицы</x:v>
      </x:c>
      <x:c r="D161" s="2" t="str">
        <x:v>с нуля</x:v>
      </x:c>
      <x:c r="E161" s="2" t="n">
        <x:v>3</x:v>
      </x:c>
      <x:c r="F161" s="2" t="str">
        <x:v>нет</x:v>
      </x:c>
      <x:c r="G161" s="2" t="str">
        <x:v>Нормально. Сравнил со своим прошлым способом. Задание 160.</x:v>
      </x:c>
      <x:c r="H161" s="2"/>
      <x:c r="I161" s="2"/>
      <x:c r="J161" s="2"/>
      <x:c r="K161" s="2"/>
    </x:row>
    <x:row r="162" ht="26" customHeight="1">
      <x:c r="A162" s="2" t="str">
        <x:v>R161</x:v>
      </x:c>
      <x:c r="B162" s="7" t="d">
        <x:v>2026-09-21T00:00:00.000Z</x:v>
      </x:c>
      <x:c r="C162" s="2" t="str">
        <x:v>Письма</x:v>
      </x:c>
      <x:c r="D162" s="2" t="str">
        <x:v>пробовал</x:v>
      </x:c>
      <x:c r="E162" s="2" t="n">
        <x:v>3</x:v>
      </x:c>
      <x:c r="F162" s="2" t="str">
        <x:v>нет</x:v>
      </x:c>
      <x:c r="G162" s="2" t="str">
        <x:v>Термины объяснили понятно, но часть шагов осталась неясной. Сравнил со своим прошлым способом. Задание 161.</x:v>
      </x:c>
      <x:c r="H162" s="2"/>
      <x:c r="I162" s="2"/>
      <x:c r="J162" s="2"/>
      <x:c r="K162" s="2"/>
    </x:row>
    <x:row r="163" ht="26" customHeight="1">
      <x:c r="A163" s="2" t="str">
        <x:v>R162</x:v>
      </x:c>
      <x:c r="B163" s="7" t="d">
        <x:v>2026-09-22T00:00:00.000Z</x:v>
      </x:c>
      <x:c r="C163" s="2" t="str">
        <x:v>Презентации</x:v>
      </x:c>
      <x:c r="D163" s="2" t="str">
        <x:v>использую</x:v>
      </x:c>
      <x:c r="E163" s="2" t="n">
        <x:v>3</x:v>
      </x:c>
      <x:c r="F163" s="2" t="str">
        <x:v>нет</x:v>
      </x:c>
      <x:c r="G163" s="2" t="str">
        <x:v>Начало шло спокойно, а конец был слишком быстрым. Сравнил со своим прошлым способом. Задание 162.</x:v>
      </x:c>
      <x:c r="H163" s="2"/>
      <x:c r="I163" s="2"/>
      <x:c r="J163" s="2"/>
      <x:c r="K163" s="2"/>
    </x:row>
    <x:row r="164" ht="26" customHeight="1">
      <x:c r="A164" s="2" t="str">
        <x:v>R163</x:v>
      </x:c>
      <x:c r="B164" s="7" t="d">
        <x:v>2026-09-23T00:00:00.000Z</x:v>
      </x:c>
      <x:c r="C164" s="2" t="str">
        <x:v>Поиск</x:v>
      </x:c>
      <x:c r="D164" s="2" t="str">
        <x:v>с нуля</x:v>
      </x:c>
      <x:c r="E164" s="2" t="n">
        <x:v>4</x:v>
      </x:c>
      <x:c r="F164" s="2" t="str">
        <x:v>да</x:v>
      </x:c>
      <x:c r="G164" s="2" t="str">
        <x:v>Примеры полезные, но хочу задание для своей работы. Сравнил со своим прошлым способом. Задание 163.</x:v>
      </x:c>
      <x:c r="H164" s="2"/>
      <x:c r="I164" s="2"/>
      <x:c r="J164" s="2"/>
      <x:c r="K164" s="2"/>
    </x:row>
    <x:row r="165" ht="26" customHeight="1">
      <x:c r="A165" s="2" t="str">
        <x:v>R164</x:v>
      </x:c>
      <x:c r="B165" s="7" t="d">
        <x:v>2026-09-24T00:00:00.000Z</x:v>
      </x:c>
      <x:c r="C165" s="2" t="str">
        <x:v>Таблицы</x:v>
      </x:c>
      <x:c r="D165" s="2" t="str">
        <x:v>пробовал</x:v>
      </x:c>
      <x:c r="E165" s="2" t="n">
        <x:v>4</x:v>
      </x:c>
      <x:c r="F165" s="2" t="str">
        <x:v>да</x:v>
      </x:c>
      <x:c r="G165" s="2" t="str">
        <x:v>Сначала не смог войти, потом помог резервный способ. Сравнил со своим прошлым способом. Задание 164.</x:v>
      </x:c>
      <x:c r="H165" s="2"/>
      <x:c r="I165" s="2"/>
      <x:c r="J165" s="2"/>
      <x:c r="K165" s="2"/>
    </x:row>
    <x:row r="166" ht="26" customHeight="1">
      <x:c r="A166" s="2" t="str">
        <x:v>R165</x:v>
      </x:c>
      <x:c r="B166" s="7" t="d">
        <x:v>2026-09-25T00:00:00.000Z</x:v>
      </x:c>
      <x:c r="C166" s="2" t="str">
        <x:v>Письма</x:v>
      </x:c>
      <x:c r="D166" s="2" t="str">
        <x:v>использую</x:v>
      </x:c>
      <x:c r="E166" s="2" t="n">
        <x:v>3</x:v>
      </x:c>
      <x:c r="F166" s="2" t="str">
        <x:v>нет</x:v>
      </x:c>
      <x:c r="G166" s="2" t="str">
        <x:v>Бесплатного режима хватило для примера, но дальше есть ограничения. Сравнил со своим прошлым способом. Задание 165.</x:v>
      </x:c>
      <x:c r="H166" s="2"/>
      <x:c r="I166" s="2"/>
      <x:c r="J166" s="2"/>
      <x:c r="K166" s="2"/>
    </x:row>
    <x:row r="167" ht="26" customHeight="1">
      <x:c r="A167" s="2" t="str">
        <x:v>R166</x:v>
      </x:c>
      <x:c r="B167" s="7" t="d">
        <x:v>2026-09-26T00:00:00.000Z</x:v>
      </x:c>
      <x:c r="C167" s="2" t="str">
        <x:v>Презентации</x:v>
      </x:c>
      <x:c r="D167" s="2" t="str">
        <x:v>с нуля</x:v>
      </x:c>
      <x:c r="E167" s="2" t="n">
        <x:v>4</x:v>
      </x:c>
      <x:c r="F167" s="2" t="str">
        <x:v>да</x:v>
      </x:c>
      <x:c r="G167" s="2" t="str">
        <x:v>Запись полезная, хотелось бы добавить таймкоды. Сравнил со своим прошлым способом. Задание 166.</x:v>
      </x:c>
      <x:c r="H167" s="2"/>
      <x:c r="I167" s="2"/>
      <x:c r="J167" s="2"/>
      <x:c r="K167" s="2"/>
    </x:row>
    <x:row r="168" ht="26" customHeight="1">
      <x:c r="A168" s="2" t="str">
        <x:v>R167</x:v>
      </x:c>
      <x:c r="B168" s="7" t="d">
        <x:v>2026-09-27T00:00:00.000Z</x:v>
      </x:c>
      <x:c r="C168" s="2" t="str">
        <x:v>Поиск</x:v>
      </x:c>
      <x:c r="D168" s="2" t="str">
        <x:v>пробовал</x:v>
      </x:c>
      <x:c r="E168" s="2" t="n">
        <x:v>3</x:v>
      </x:c>
      <x:c r="F168" s="2" t="str">
        <x:v>нет</x:v>
      </x:c>
      <x:c r="G168" s="2" t="str">
        <x:v>Подключился легко, но вопросы в чате остались без ответа. Сравнил со своим прошлым способом. Задание 167.</x:v>
      </x:c>
      <x:c r="H168" s="2"/>
      <x:c r="I168" s="2"/>
      <x:c r="J168" s="2"/>
      <x:c r="K168" s="2"/>
    </x:row>
    <x:row r="169" ht="26" customHeight="1">
      <x:c r="A169" s="2" t="str">
        <x:v>R168</x:v>
      </x:c>
      <x:c r="B169" s="7" t="d">
        <x:v>2026-09-28T00:00:00.000Z</x:v>
      </x:c>
      <x:c r="C169" s="2" t="str">
        <x:v>Таблицы</x:v>
      </x:c>
      <x:c r="D169" s="2" t="str">
        <x:v>использую</x:v>
      </x:c>
      <x:c r="E169" s="2" t="n">
        <x:v>3</x:v>
      </x:c>
      <x:c r="F169" s="2" t="str">
        <x:v>нет</x:v>
      </x:c>
      <x:c r="G169" s="2" t="str">
        <x:v>Пока не решил, где буду это применять. Сравнил со своим прошлым способом. Задание 168.</x:v>
      </x:c>
      <x:c r="H169" s="2"/>
      <x:c r="I169" s="2"/>
      <x:c r="J169" s="2"/>
      <x:c r="K169" s="2"/>
    </x:row>
    <x:row r="170" ht="26" customHeight="1">
      <x:c r="A170" s="2" t="str">
        <x:v>R169</x:v>
      </x:c>
      <x:c r="B170" s="7" t="d">
        <x:v>2026-09-01T00:00:00.000Z</x:v>
      </x:c>
      <x:c r="C170" s="2" t="str">
        <x:v>Письма</x:v>
      </x:c>
      <x:c r="D170" s="2" t="str">
        <x:v>с нуля</x:v>
      </x:c>
      <x:c r="E170" s="2" t="n">
        <x:v>5</x:v>
      </x:c>
      <x:c r="F170" s="2" t="str">
        <x:v>да</x:v>
      </x:c>
      <x:c r="G170" s="2" t="str">
        <x:v>Объяснение стало понятным после примера. Сохранил результат в отдельный файл. Задание 169.</x:v>
      </x:c>
      <x:c r="H170" s="2"/>
      <x:c r="I170" s="2"/>
      <x:c r="J170" s="2"/>
      <x:c r="K170" s="2"/>
    </x:row>
    <x:row r="171" ht="26" customHeight="1">
      <x:c r="A171" s="2" t="str">
        <x:v>R170</x:v>
      </x:c>
      <x:c r="B171" s="7" t="d">
        <x:v>2026-09-02T00:00:00.000Z</x:v>
      </x:c>
      <x:c r="C171" s="2" t="str">
        <x:v>Презентации</x:v>
      </x:c>
      <x:c r="D171" s="2" t="str">
        <x:v>пробовал</x:v>
      </x:c>
      <x:c r="E171" s="2" t="n">
        <x:v>5</x:v>
      </x:c>
      <x:c r="F171" s="2" t="str">
        <x:v>да</x:v>
      </x:c>
      <x:c r="G171" s="2" t="str">
        <x:v>Успевал повторять действия на экране. Сохранил результат в отдельный файл. Задание 170.</x:v>
      </x:c>
      <x:c r="H171" s="2"/>
      <x:c r="I171" s="2"/>
      <x:c r="J171" s="2"/>
      <x:c r="K171" s="2"/>
    </x:row>
    <x:row r="172" ht="26" customHeight="1">
      <x:c r="A172" s="2" t="str">
        <x:v>R171</x:v>
      </x:c>
      <x:c r="B172" s="7" t="d">
        <x:v>2026-09-03T00:00:00.000Z</x:v>
      </x:c>
      <x:c r="C172" s="2" t="str">
        <x:v>Поиск</x:v>
      </x:c>
      <x:c r="D172" s="2" t="str">
        <x:v>использую</x:v>
      </x:c>
      <x:c r="E172" s="2" t="n">
        <x:v>5</x:v>
      </x:c>
      <x:c r="F172" s="2"/>
      <x:c r="G172" s="2" t="str">
        <x:v>Сам сделал письмо клиенту по образцу. Сохранил результат в отдельный файл. Задание 171.</x:v>
      </x:c>
      <x:c r="H172" s="2"/>
      <x:c r="I172" s="2"/>
      <x:c r="J172" s="2"/>
      <x:c r="K172" s="2"/>
    </x:row>
    <x:row r="173" ht="26" customHeight="1">
      <x:c r="A173" s="2" t="str">
        <x:v>R172</x:v>
      </x:c>
      <x:c r="B173" s="7" t="d">
        <x:v>2026-09-04T00:00:00.000Z</x:v>
      </x:c>
      <x:c r="C173" s="2" t="str">
        <x:v>Таблицы</x:v>
      </x:c>
      <x:c r="D173" s="2" t="str">
        <x:v>с нуля</x:v>
      </x:c>
      <x:c r="E173" s="2" t="n">
        <x:v>5</x:v>
      </x:c>
      <x:c r="F173" s="2" t="str">
        <x:v>да</x:v>
      </x:c>
      <x:c r="G173" s="2" t="str">
        <x:v>Получилось войти в сервис и выполнить задание. Сохранил результат в отдельный файл. Задание 172.</x:v>
      </x:c>
      <x:c r="H173" s="2"/>
      <x:c r="I173" s="2"/>
      <x:c r="J173" s="2"/>
      <x:c r="K173" s="2"/>
    </x:row>
    <x:row r="174" ht="26" customHeight="1">
      <x:c r="A174" s="2" t="str">
        <x:v>R173</x:v>
      </x:c>
      <x:c r="B174" s="7" t="d">
        <x:v>2026-09-05T00:00:00.000Z</x:v>
      </x:c>
      <x:c r="C174" s="2" t="str">
        <x:v>Письма</x:v>
      </x:c>
      <x:c r="D174" s="2" t="str">
        <x:v>пробовал</x:v>
      </x:c>
      <x:c r="E174" s="2" t="n">
        <x:v>5</x:v>
      </x:c>
      <x:c r="F174" s="2" t="str">
        <x:v>да</x:v>
      </x:c>
      <x:c r="G174" s="2" t="str">
        <x:v>Нашёл подходящий бесплатный инструмент. Сохранил результат в отдельный файл. Задание 173.</x:v>
      </x:c>
      <x:c r="H174" s="2"/>
      <x:c r="I174" s="2"/>
      <x:c r="J174" s="2"/>
      <x:c r="K174" s="2"/>
    </x:row>
    <x:row r="175" ht="26" customHeight="1">
      <x:c r="A175" s="2" t="str">
        <x:v>R174</x:v>
      </x:c>
      <x:c r="B175" s="7" t="d">
        <x:v>2026-09-06T00:00:00.000Z</x:v>
      </x:c>
      <x:c r="C175" s="2" t="str">
        <x:v>Презентации</x:v>
      </x:c>
      <x:c r="D175" s="2" t="str">
        <x:v>использую</x:v>
      </x:c>
      <x:c r="E175" s="2" t="n">
        <x:v>5</x:v>
      </x:c>
      <x:c r="F175" s="2" t="str">
        <x:v>да</x:v>
      </x:c>
      <x:c r="G175" s="2" t="str">
        <x:v>Сохранил памятку и повторил по ней шаги. Сохранил результат в отдельный файл. Задание 174.</x:v>
      </x:c>
      <x:c r="H175" s="2"/>
      <x:c r="I175" s="2"/>
      <x:c r="J175" s="2"/>
      <x:c r="K175" s="2"/>
    </x:row>
    <x:row r="176" ht="26" customHeight="1">
      <x:c r="A176" s="2" t="str">
        <x:v>R175</x:v>
      </x:c>
      <x:c r="B176" s="7" t="d">
        <x:v>2026-09-07T00:00:00.000Z</x:v>
      </x:c>
      <x:c r="C176" s="2" t="str">
        <x:v>Поиск</x:v>
      </x:c>
      <x:c r="D176" s="2" t="str">
        <x:v>с нуля</x:v>
      </x:c>
      <x:c r="E176" s="2" t="n">
        <x:v>5</x:v>
      </x:c>
      <x:c r="F176" s="2" t="str">
        <x:v>да</x:v>
      </x:c>
      <x:c r="G176" s="2" t="str">
        <x:v>Ссылка пришла вовремя, звук был хороший. Сохранил результат в отдельный файл. Задание 175.</x:v>
      </x:c>
      <x:c r="H176" s="2"/>
      <x:c r="I176" s="2"/>
      <x:c r="J176" s="2"/>
      <x:c r="K176" s="2"/>
    </x:row>
    <x:row r="177" ht="26" customHeight="1">
      <x:c r="A177" s="2" t="str">
        <x:v>R176</x:v>
      </x:c>
      <x:c r="B177" s="7" t="d">
        <x:v>2026-09-08T00:00:00.000Z</x:v>
      </x:c>
      <x:c r="C177" s="2" t="str">
        <x:v>Таблицы</x:v>
      </x:c>
      <x:c r="D177" s="2" t="str">
        <x:v>пробовал</x:v>
      </x:c>
      <x:c r="E177" s="2" t="n">
        <x:v>5</x:v>
      </x:c>
      <x:c r="F177" s="2" t="str">
        <x:v>да</x:v>
      </x:c>
      <x:c r="G177" s="2" t="str">
        <x:v>Спасибо за занятие. Сохранил результат в отдельный файл. Задание 176.</x:v>
      </x:c>
      <x:c r="H177" s="2"/>
      <x:c r="I177" s="2"/>
      <x:c r="J177" s="2"/>
      <x:c r="K177" s="2"/>
    </x:row>
    <x:row r="178" ht="26" customHeight="1">
      <x:c r="A178" s="2" t="str">
        <x:v>R177</x:v>
      </x:c>
      <x:c r="B178" s="7" t="d">
        <x:v>2026-09-09T00:00:00.000Z</x:v>
      </x:c>
      <x:c r="C178" s="2" t="str">
        <x:v>Письма</x:v>
      </x:c>
      <x:c r="D178" s="2" t="str">
        <x:v>использую</x:v>
      </x:c>
      <x:c r="E178" s="2" t="n">
        <x:v>2</x:v>
      </x:c>
      <x:c r="F178" s="2" t="str">
        <x:v>нет</x:v>
      </x:c>
      <x:c r="G178" s="2" t="str">
        <x:v>Не понял разницу между задачей и запросом. Сохранил результат в отдельный файл. Задание 177.</x:v>
      </x:c>
      <x:c r="H178" s="2"/>
      <x:c r="I178" s="2"/>
      <x:c r="J178" s="2"/>
      <x:c r="K178" s="2"/>
    </x:row>
    <x:row r="179" ht="26" customHeight="1">
      <x:c r="A179" s="2" t="str">
        <x:v>R178</x:v>
      </x:c>
      <x:c r="B179" s="7" t="d">
        <x:v>2026-09-10T00:00:00.000Z</x:v>
      </x:c>
      <x:c r="C179" s="2" t="str">
        <x:v>Презентации</x:v>
      </x:c>
      <x:c r="D179" s="2" t="str">
        <x:v>с нуля</x:v>
      </x:c>
      <x:c r="E179" s="2" t="n">
        <x:v>2</x:v>
      </x:c>
      <x:c r="F179" s="2" t="str">
        <x:v>нет</x:v>
      </x:c>
      <x:c r="G179" s="2" t="str">
        <x:v>Слишком быстро переключались между окнами. Сохранил результат в отдельный файл. Задание 178.</x:v>
      </x:c>
      <x:c r="H179" s="2"/>
      <x:c r="I179" s="2"/>
      <x:c r="J179" s="2"/>
      <x:c r="K179" s="2"/>
    </x:row>
    <x:row r="180" ht="26" customHeight="1">
      <x:c r="A180" s="2" t="str">
        <x:v>R179</x:v>
      </x:c>
      <x:c r="B180" s="7" t="d">
        <x:v>2026-09-11T00:00:00.000Z</x:v>
      </x:c>
      <x:c r="C180" s="2" t="str">
        <x:v>Поиск</x:v>
      </x:c>
      <x:c r="D180" s="2" t="str">
        <x:v>пробовал</x:v>
      </x:c>
      <x:c r="E180" s="2" t="n">
        <x:v>2</x:v>
      </x:c>
      <x:c r="F180" s="2" t="str">
        <x:v>нет</x:v>
      </x:c>
      <x:c r="G180" s="2" t="str">
        <x:v>Не хватило самостоятельной практики. Сохранил результат в отдельный файл. Задание 179.</x:v>
      </x:c>
      <x:c r="H180" s="2"/>
      <x:c r="I180" s="2"/>
      <x:c r="J180" s="2"/>
      <x:c r="K180" s="2"/>
    </x:row>
    <x:row r="181" ht="26" customHeight="1">
      <x:c r="A181" s="2" t="str">
        <x:v>R180</x:v>
      </x:c>
      <x:c r="B181" s="7" t="d">
        <x:v>2026-09-12T00:00:00.000Z</x:v>
      </x:c>
      <x:c r="C181" s="2" t="str">
        <x:v>Таблицы</x:v>
      </x:c>
      <x:c r="D181" s="2" t="str">
        <x:v>использую</x:v>
      </x:c>
      <x:c r="E181" s="2" t="str">
        <x:v>пять</x:v>
      </x:c>
      <x:c r="F181" s="2" t="str">
        <x:v>нет</x:v>
      </x:c>
      <x:c r="G181" s="2" t="str">
        <x:v>Не удалось зарегистрироваться в сервисе. Сохранил результат в отдельный файл. Задание 180.</x:v>
      </x:c>
      <x:c r="H181" s="2"/>
      <x:c r="I181" s="2"/>
      <x:c r="J181" s="2"/>
      <x:c r="K181" s="2"/>
    </x:row>
    <x:row r="182" ht="26" customHeight="1">
      <x:c r="A182" s="2" t="str">
        <x:v>R181</x:v>
      </x:c>
      <x:c r="B182" s="7" t="d">
        <x:v>2026-09-13T00:00:00.000Z</x:v>
      </x:c>
      <x:c r="C182" s="2" t="str">
        <x:v>Письма</x:v>
      </x:c>
      <x:c r="D182" s="2" t="str">
        <x:v>с нуля</x:v>
      </x:c>
      <x:c r="E182" s="2" t="n">
        <x:v>2</x:v>
      </x:c>
      <x:c r="F182" s="2" t="str">
        <x:v>нет</x:v>
      </x:c>
      <x:c r="G182" s="2" t="str">
        <x:v>Непонятно, какие функции требуют оплаты. Сохранил результат в отдельный файл. Задание 181.</x:v>
      </x:c>
      <x:c r="H182" s="2"/>
      <x:c r="I182" s="2"/>
      <x:c r="J182" s="2"/>
      <x:c r="K182" s="2"/>
    </x:row>
    <x:row r="183" ht="26" customHeight="1">
      <x:c r="A183" s="2" t="str">
        <x:v>R182</x:v>
      </x:c>
      <x:c r="B183" s="7" t="d">
        <x:v>2026-09-14T00:00:00.000Z</x:v>
      </x:c>
      <x:c r="C183" s="2" t="str">
        <x:v>Презентации</x:v>
      </x:c>
      <x:c r="D183" s="2" t="str">
        <x:v>пробовал</x:v>
      </x:c>
      <x:c r="E183" s="2" t="n">
        <x:v>2</x:v>
      </x:c>
      <x:c r="F183" s="2" t="str">
        <x:v>нет</x:v>
      </x:c>
      <x:c r="G183" s="2" t="str">
        <x:v>Не нашёл файл с примером после занятия. Сохранил результат в отдельный файл. Задание 182.</x:v>
      </x:c>
      <x:c r="H183" s="2"/>
      <x:c r="I183" s="2"/>
      <x:c r="J183" s="2"/>
      <x:c r="K183" s="2"/>
    </x:row>
    <x:row r="184" ht="26" customHeight="1">
      <x:c r="A184" s="2" t="str">
        <x:v>R183</x:v>
      </x:c>
      <x:c r="B184" s="7" t="d">
        <x:v>2026-09-15T00:00:00.000Z</x:v>
      </x:c>
      <x:c r="C184" s="2" t="str">
        <x:v>Поиск</x:v>
      </x:c>
      <x:c r="D184" s="2" t="str">
        <x:v>использую</x:v>
      </x:c>
      <x:c r="E184" s="2" t="n">
        <x:v>2</x:v>
      </x:c>
      <x:c r="F184" s="2" t="str">
        <x:v>нет</x:v>
      </x:c>
      <x:c r="G184" s="2" t="str">
        <x:v>Не было слышно часть объяснения. Сохранил результат в отдельный файл. Задание 183.</x:v>
      </x:c>
      <x:c r="H184" s="2"/>
      <x:c r="I184" s="2"/>
      <x:c r="J184" s="2"/>
      <x:c r="K184" s="2"/>
    </x:row>
    <x:row r="185" ht="26" customHeight="1">
      <x:c r="A185" s="2" t="str">
        <x:v>R184</x:v>
      </x:c>
      <x:c r="B185" s="7" t="d">
        <x:v>2026-09-16T00:00:00.000Z</x:v>
      </x:c>
      <x:c r="C185" s="2" t="str">
        <x:v>Таблицы</x:v>
      </x:c>
      <x:c r="D185" s="2" t="str">
        <x:v>с нуля</x:v>
      </x:c>
      <x:c r="E185" s="2" t="n">
        <x:v>3</x:v>
      </x:c>
      <x:c r="F185" s="2" t="str">
        <x:v>нет</x:v>
      </x:c>
      <x:c r="G185" s="2" t="str">
        <x:v>Нормально. Сохранил результат в отдельный файл. Задание 184.</x:v>
      </x:c>
      <x:c r="H185" s="2"/>
      <x:c r="I185" s="2"/>
      <x:c r="J185" s="2"/>
      <x:c r="K185" s="2"/>
    </x:row>
    <x:row r="186" ht="26" customHeight="1">
      <x:c r="A186" s="2" t="str">
        <x:v>R185</x:v>
      </x:c>
      <x:c r="B186" s="7" t="d">
        <x:v>2026-09-17T00:00:00.000Z</x:v>
      </x:c>
      <x:c r="C186" s="2" t="str">
        <x:v>Письма</x:v>
      </x:c>
      <x:c r="D186" s="2" t="str">
        <x:v>пробовал</x:v>
      </x:c>
      <x:c r="E186" s="2" t="n">
        <x:v>3</x:v>
      </x:c>
      <x:c r="F186" s="2" t="str">
        <x:v>нет</x:v>
      </x:c>
      <x:c r="G186" s="2" t="str">
        <x:v>Термины объяснили понятно, но часть шагов осталась неясной. Сохранил результат в отдельный файл. Задание 185.</x:v>
      </x:c>
      <x:c r="H186" s="2"/>
      <x:c r="I186" s="2"/>
      <x:c r="J186" s="2"/>
      <x:c r="K186" s="2"/>
    </x:row>
    <x:row r="187" ht="26" customHeight="1">
      <x:c r="A187" s="2" t="str">
        <x:v>R186</x:v>
      </x:c>
      <x:c r="B187" s="7" t="d">
        <x:v>2026-09-18T00:00:00.000Z</x:v>
      </x:c>
      <x:c r="C187" s="2" t="str">
        <x:v>Презентации</x:v>
      </x:c>
      <x:c r="D187" s="2" t="str">
        <x:v>использую</x:v>
      </x:c>
      <x:c r="E187" s="2" t="n">
        <x:v>3</x:v>
      </x:c>
      <x:c r="F187" s="2" t="str">
        <x:v>нет</x:v>
      </x:c>
      <x:c r="G187" s="2" t="str">
        <x:v>Начало шло спокойно, а конец был слишком быстрым. Сохранил результат в отдельный файл. Задание 186.</x:v>
      </x:c>
      <x:c r="H187" s="2"/>
      <x:c r="I187" s="2"/>
      <x:c r="J187" s="2"/>
      <x:c r="K187" s="2"/>
    </x:row>
    <x:row r="188" ht="26" customHeight="1">
      <x:c r="A188" s="2" t="str">
        <x:v>R187</x:v>
      </x:c>
      <x:c r="B188" s="7" t="d">
        <x:v>2026-09-19T00:00:00.000Z</x:v>
      </x:c>
      <x:c r="C188" s="2" t="str">
        <x:v>Поиск</x:v>
      </x:c>
      <x:c r="D188" s="2" t="str">
        <x:v>с нуля</x:v>
      </x:c>
      <x:c r="E188" s="2" t="n">
        <x:v>4</x:v>
      </x:c>
      <x:c r="F188" s="2" t="str">
        <x:v>да</x:v>
      </x:c>
      <x:c r="G188" s="2" t="str">
        <x:v>Примеры полезные, но хочу задание для своей работы. Сохранил результат в отдельный файл. Задание 187.</x:v>
      </x:c>
      <x:c r="H188" s="2"/>
      <x:c r="I188" s="2"/>
      <x:c r="J188" s="2"/>
      <x:c r="K188" s="2"/>
    </x:row>
    <x:row r="189" ht="26" customHeight="1">
      <x:c r="A189" s="2" t="str">
        <x:v>R188</x:v>
      </x:c>
      <x:c r="B189" s="7" t="d">
        <x:v>2026-09-20T00:00:00.000Z</x:v>
      </x:c>
      <x:c r="C189" s="2" t="str">
        <x:v>Таблицы</x:v>
      </x:c>
      <x:c r="D189" s="2" t="str">
        <x:v>пробовал</x:v>
      </x:c>
      <x:c r="E189" s="2" t="n">
        <x:v>4</x:v>
      </x:c>
      <x:c r="F189" s="2" t="str">
        <x:v>да</x:v>
      </x:c>
      <x:c r="G189" s="2" t="str">
        <x:v>Сначала не смог войти, потом помог резервный способ. Сохранил результат в отдельный файл. Задание 188.</x:v>
      </x:c>
      <x:c r="H189" s="2"/>
      <x:c r="I189" s="2"/>
      <x:c r="J189" s="2"/>
      <x:c r="K189" s="2"/>
    </x:row>
    <x:row r="190" ht="26" customHeight="1">
      <x:c r="A190" s="2" t="str">
        <x:v>R189</x:v>
      </x:c>
      <x:c r="B190" s="7" t="d">
        <x:v>2026-09-21T00:00:00.000Z</x:v>
      </x:c>
      <x:c r="C190" s="2" t="str">
        <x:v>Письма</x:v>
      </x:c>
      <x:c r="D190" s="2" t="str">
        <x:v>использую</x:v>
      </x:c>
      <x:c r="E190" s="2" t="n">
        <x:v>3</x:v>
      </x:c>
      <x:c r="F190" s="2" t="str">
        <x:v>нет</x:v>
      </x:c>
      <x:c r="G190" s="2" t="str">
        <x:v>Бесплатного режима хватило для примера, но дальше есть ограничения. Сохранил результат в отдельный файл. Задание 189.</x:v>
      </x:c>
      <x:c r="H190" s="2"/>
      <x:c r="I190" s="2"/>
      <x:c r="J190" s="2"/>
      <x:c r="K190" s="2"/>
    </x:row>
    <x:row r="191" ht="26" customHeight="1">
      <x:c r="A191" s="2" t="str">
        <x:v>R190</x:v>
      </x:c>
      <x:c r="B191" s="7" t="d">
        <x:v>2026-09-22T00:00:00.000Z</x:v>
      </x:c>
      <x:c r="C191" s="2" t="str">
        <x:v>Презентации</x:v>
      </x:c>
      <x:c r="D191" s="2" t="str">
        <x:v>с нуля</x:v>
      </x:c>
      <x:c r="E191" s="2" t="n">
        <x:v>4</x:v>
      </x:c>
      <x:c r="F191" s="2" t="str">
        <x:v>да</x:v>
      </x:c>
      <x:c r="G191" s="2" t="str">
        <x:v>Запись полезная, хотелось бы добавить таймкоды. Сохранил результат в отдельный файл. Задание 190.</x:v>
      </x:c>
      <x:c r="H191" s="2"/>
      <x:c r="I191" s="2"/>
      <x:c r="J191" s="2"/>
      <x:c r="K191" s="2"/>
    </x:row>
    <x:row r="192" ht="26" customHeight="1">
      <x:c r="A192" s="2" t="str">
        <x:v>R191</x:v>
      </x:c>
      <x:c r="B192" s="7" t="d">
        <x:v>2026-09-23T00:00:00.000Z</x:v>
      </x:c>
      <x:c r="C192" s="2" t="str">
        <x:v>Поиск</x:v>
      </x:c>
      <x:c r="D192" s="2" t="str">
        <x:v>пробовал</x:v>
      </x:c>
      <x:c r="E192" s="2" t="n">
        <x:v>3</x:v>
      </x:c>
      <x:c r="F192" s="2" t="str">
        <x:v>нет</x:v>
      </x:c>
      <x:c r="G192" s="2" t="str">
        <x:v>Подключился легко, но вопросы в чате остались без ответа. Сохранил результат в отдельный файл. Задание 191.</x:v>
      </x:c>
      <x:c r="H192" s="2"/>
      <x:c r="I192" s="2"/>
      <x:c r="J192" s="2"/>
      <x:c r="K192" s="2"/>
    </x:row>
    <x:row r="193" ht="26" customHeight="1">
      <x:c r="A193" s="2" t="str">
        <x:v>R192</x:v>
      </x:c>
      <x:c r="B193" s="7" t="d">
        <x:v>2026-09-24T00:00:00.000Z</x:v>
      </x:c>
      <x:c r="C193" s="2" t="str">
        <x:v>Таблицы</x:v>
      </x:c>
      <x:c r="D193" s="2" t="str">
        <x:v>использую</x:v>
      </x:c>
      <x:c r="E193" s="2" t="n">
        <x:v>3</x:v>
      </x:c>
      <x:c r="F193" s="2" t="str">
        <x:v>нет</x:v>
      </x:c>
      <x:c r="G193" s="2" t="str">
        <x:v>Пока не решил, где буду это применять. Сохранил результат в отдельный файл. Задание 192.</x:v>
      </x:c>
      <x:c r="H193" s="2"/>
      <x:c r="I193" s="2"/>
      <x:c r="J193" s="2"/>
      <x:c r="K193" s="2"/>
    </x:row>
    <x:row r="194" ht="26" customHeight="1">
      <x:c r="A194" s="2" t="str">
        <x:v>R193</x:v>
      </x:c>
      <x:c r="B194" s="7" t="d">
        <x:v>2026-09-25T00:00:00.000Z</x:v>
      </x:c>
      <x:c r="C194" s="2" t="str">
        <x:v>Письма</x:v>
      </x:c>
      <x:c r="D194" s="2" t="str">
        <x:v>с нуля</x:v>
      </x:c>
      <x:c r="E194" s="2" t="n">
        <x:v>5</x:v>
      </x:c>
      <x:c r="F194" s="2" t="str">
        <x:v>да</x:v>
      </x:c>
      <x:c r="G194" s="2" t="str">
        <x:v>Объяснение стало понятным после примера. Обсудил пример с коллегой. Задание 193.</x:v>
      </x:c>
      <x:c r="H194" s="2"/>
      <x:c r="I194" s="2"/>
      <x:c r="J194" s="2"/>
      <x:c r="K194" s="2"/>
    </x:row>
    <x:row r="195" ht="26" customHeight="1">
      <x:c r="A195" s="2" t="str">
        <x:v>R194</x:v>
      </x:c>
      <x:c r="B195" s="7" t="d">
        <x:v>2026-09-26T00:00:00.000Z</x:v>
      </x:c>
      <x:c r="C195" s="2" t="str">
        <x:v>Презентации</x:v>
      </x:c>
      <x:c r="D195" s="2" t="str">
        <x:v>пробовал</x:v>
      </x:c>
      <x:c r="E195" s="2" t="n">
        <x:v>5</x:v>
      </x:c>
      <x:c r="F195" s="2" t="str">
        <x:v>да</x:v>
      </x:c>
      <x:c r="G195" s="2" t="str">
        <x:v>Успевал повторять действия на экране. Обсудил пример с коллегой. Задание 194.</x:v>
      </x:c>
      <x:c r="H195" s="2"/>
      <x:c r="I195" s="2"/>
      <x:c r="J195" s="2"/>
      <x:c r="K195" s="2"/>
    </x:row>
    <x:row r="196" ht="26" customHeight="1">
      <x:c r="A196" s="2" t="str">
        <x:v>R195</x:v>
      </x:c>
      <x:c r="B196" s="7" t="d">
        <x:v>2026-09-27T00:00:00.000Z</x:v>
      </x:c>
      <x:c r="C196" s="2" t="str">
        <x:v>Поиск</x:v>
      </x:c>
      <x:c r="D196" s="2" t="str">
        <x:v>использую</x:v>
      </x:c>
      <x:c r="E196" s="2" t="n">
        <x:v>5</x:v>
      </x:c>
      <x:c r="F196" s="2" t="str">
        <x:v>да</x:v>
      </x:c>
      <x:c r="G196" s="2" t="str">
        <x:v>Сам сделал письмо клиенту по образцу. Обсудил пример с коллегой. Задание 195.</x:v>
      </x:c>
      <x:c r="H196" s="2"/>
      <x:c r="I196" s="2"/>
      <x:c r="J196" s="2"/>
      <x:c r="K196" s="2"/>
    </x:row>
    <x:row r="197" ht="26" customHeight="1">
      <x:c r="A197" s="2" t="str">
        <x:v>R196</x:v>
      </x:c>
      <x:c r="B197" s="7" t="d">
        <x:v>2026-09-28T00:00:00.000Z</x:v>
      </x:c>
      <x:c r="C197" s="2" t="str">
        <x:v>Таблицы</x:v>
      </x:c>
      <x:c r="D197" s="2" t="str">
        <x:v>с нуля</x:v>
      </x:c>
      <x:c r="E197" s="2" t="n">
        <x:v>5</x:v>
      </x:c>
      <x:c r="F197" s="2" t="str">
        <x:v>да</x:v>
      </x:c>
      <x:c r="G197" s="2" t="str">
        <x:v>Получилось войти в сервис и выполнить задание. Обсудил пример с коллегой. Задание 196.</x:v>
      </x:c>
      <x:c r="H197" s="2"/>
      <x:c r="I197" s="2"/>
      <x:c r="J197" s="2"/>
      <x:c r="K197" s="2"/>
    </x:row>
    <x:row r="198" ht="26" customHeight="1">
      <x:c r="A198" s="2" t="str">
        <x:v>R197</x:v>
      </x:c>
      <x:c r="B198" s="7" t="d">
        <x:v>2026-09-01T00:00:00.000Z</x:v>
      </x:c>
      <x:c r="C198" s="2" t="str">
        <x:v>Письма</x:v>
      </x:c>
      <x:c r="D198" s="2" t="str">
        <x:v>пробовал</x:v>
      </x:c>
      <x:c r="E198" s="2" t="n">
        <x:v>5</x:v>
      </x:c>
      <x:c r="F198" s="2" t="str">
        <x:v>да</x:v>
      </x:c>
      <x:c r="G198" s="2" t="str">
        <x:v>Нашёл подходящий бесплатный инструмент. Обсудил пример с коллегой. Задание 197.</x:v>
      </x:c>
      <x:c r="H198" s="2"/>
      <x:c r="I198" s="2"/>
      <x:c r="J198" s="2"/>
      <x:c r="K198" s="2"/>
    </x:row>
    <x:row r="199" ht="26" customHeight="1">
      <x:c r="A199" s="2" t="str">
        <x:v>R198</x:v>
      </x:c>
      <x:c r="B199" s="7" t="d">
        <x:v>2026-09-02T00:00:00.000Z</x:v>
      </x:c>
      <x:c r="C199" s="2" t="str">
        <x:v>Презентации</x:v>
      </x:c>
      <x:c r="D199" s="2" t="str">
        <x:v>использую</x:v>
      </x:c>
      <x:c r="E199" s="2" t="n">
        <x:v>5</x:v>
      </x:c>
      <x:c r="F199" s="2" t="str">
        <x:v>да</x:v>
      </x:c>
      <x:c r="G199" s="2" t="str">
        <x:v>Сохранил памятку и повторил по ней шаги. Обсудил пример с коллегой. Задание 198.</x:v>
      </x:c>
      <x:c r="H199" s="2"/>
      <x:c r="I199" s="2"/>
      <x:c r="J199" s="2"/>
      <x:c r="K199" s="2"/>
    </x:row>
    <x:row r="200" ht="26" customHeight="1">
      <x:c r="A200" s="2" t="str">
        <x:v>R199</x:v>
      </x:c>
      <x:c r="B200" s="7" t="d">
        <x:v>2026-09-03T00:00:00.000Z</x:v>
      </x:c>
      <x:c r="C200" s="2" t="str">
        <x:v>Поиск</x:v>
      </x:c>
      <x:c r="D200" s="2" t="str">
        <x:v>с нуля</x:v>
      </x:c>
      <x:c r="E200" s="2" t="n">
        <x:v>5</x:v>
      </x:c>
      <x:c r="F200" s="2" t="str">
        <x:v>да</x:v>
      </x:c>
      <x:c r="G200" s="2" t="str">
        <x:v>Ссылка пришла вовремя, звук был хороший. Обсудил пример с коллегой. Задание 199.</x:v>
      </x:c>
      <x:c r="H200" s="2"/>
      <x:c r="I200" s="2"/>
      <x:c r="J200" s="2"/>
      <x:c r="K200" s="2"/>
    </x:row>
    <x:row r="201" ht="26" customHeight="1">
      <x:c r="A201" s="2" t="str">
        <x:v>R200</x:v>
      </x:c>
      <x:c r="B201" s="7" t="d">
        <x:v>2026-09-04T00:00:00.000Z</x:v>
      </x:c>
      <x:c r="C201" s="2" t="str">
        <x:v>Таблицы</x:v>
      </x:c>
      <x:c r="D201" s="2" t="str">
        <x:v>пробовал</x:v>
      </x:c>
      <x:c r="E201" s="2" t="n">
        <x:v>5</x:v>
      </x:c>
      <x:c r="F201" s="2" t="str">
        <x:v>да</x:v>
      </x:c>
      <x:c r="G201" s="2" t="str">
        <x:v>Спасибо за занятие. Обсудил пример с коллегой. Задание 200.</x:v>
      </x:c>
      <x:c r="H201" s="2"/>
      <x:c r="I201" s="2"/>
      <x:c r="J201" s="2"/>
      <x:c r="K201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19212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18" hidden="0" customWidth="1"/>
    <x:col min="5" max="5" width="16" hidden="0" customWidth="1"/>
    <x:col min="6" max="6" width="20" hidden="0" customWidth="1"/>
    <x:col min="7" max="7" width="65" hidden="0" customWidth="1"/>
    <x:col min="8" max="8" width="25" hidden="0" customWidth="1"/>
    <x:col min="9" max="9" width="22" hidden="0" customWidth="1"/>
    <x:col min="10" max="10" width="55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</x:cols>
  <x:sheetData>
    <x:row r="1" ht="34" customHeight="1">
      <x:c r="A1" s="6" t="str">
        <x:v>ID</x:v>
      </x:c>
      <x:c r="B1" s="6" t="str">
        <x:v>Дата</x:v>
      </x:c>
      <x:c r="C1" s="6" t="str">
        <x:v>Тема_занятия</x:v>
      </x:c>
      <x:c r="D1" s="6" t="str">
        <x:v>Опыт_ИИ</x:v>
      </x:c>
      <x:c r="E1" s="6" t="str">
        <x:v>Оценка_1_5</x:v>
      </x:c>
      <x:c r="F1" s="6" t="str">
        <x:v>Рекомендую_да_нет</x:v>
      </x:c>
      <x:c r="G1" s="6" t="str">
        <x:v>Комментарий</x:v>
      </x:c>
      <x:c r="H1" s="6" t="str">
        <x:v>Основная тема</x:v>
      </x:c>
      <x:c r="I1" s="6" t="str">
        <x:v>Тональность</x:v>
      </x:c>
      <x:c r="J1" s="6" t="str">
        <x:v>Цитата-основание</x:v>
      </x:c>
      <x:c r="K1" s="6" t="str">
        <x:v>Нужна проверка</x:v>
      </x:c>
      <x:c r="L1" s="6"/>
      <x:c r="M1" s="6"/>
      <x:c r="N1" s="6" t="str">
        <x:v>Тема</x:v>
      </x:c>
      <x:c r="O1" s="6" t="str">
        <x:v>Количество</x:v>
      </x:c>
    </x:row>
    <x:row r="2" ht="26" customHeight="1">
      <x:c r="A2" s="2" t="str">
        <x:v>R001</x:v>
      </x:c>
      <x:c r="B2" s="7" t="d">
        <x:v>2026-09-01T00:00:00.000Z</x:v>
      </x:c>
      <x:c r="C2" s="2" t="str">
        <x:v>Письма</x:v>
      </x:c>
      <x:c r="D2" s="2" t="str">
        <x:v>с нуля</x:v>
      </x:c>
      <x:c r="E2" s="2" t="n">
        <x:v>5</x:v>
      </x:c>
      <x:c r="F2" s="2" t="str">
        <x:v>да</x:v>
      </x:c>
      <x:c r="G2" s="2" t="str">
        <x:v>Объяснение стало понятным после примера. После работы посмотрел запись. Задание 001.</x:v>
      </x:c>
      <x:c r="H2" s="2" t="str">
        <x:v>понятность</x:v>
      </x:c>
      <x:c r="I2" s="2" t="str">
        <x:v>положительная</x:v>
      </x:c>
      <x:c r="J2" s="2" t="str">
        <x:v>Объяснение стало понятным после примера</x:v>
      </x:c>
      <x:c r="K2" s="2" t="str">
        <x:v>нет</x:v>
      </x:c>
      <x:c r="L2" s="2"/>
      <x:c r="M2" s="2"/>
      <x:c r="N2" s="2" t="str">
        <x:v>понятность</x:v>
      </x:c>
      <x:c r="O2" s="2" t="n">
        <x:f>COUNTIF(H2:H201,N2)</x:f>
        <x:v>25</x:v>
      </x:c>
    </x:row>
    <x:row r="3" ht="26" customHeight="1">
      <x:c r="A3" s="2" t="str">
        <x:v>R002</x:v>
      </x:c>
      <x:c r="B3" s="7" t="d">
        <x:v>2026-09-02T00:00:00.000Z</x:v>
      </x:c>
      <x:c r="C3" s="2" t="str">
        <x:v>Презентации</x:v>
      </x:c>
      <x:c r="D3" s="2" t="str">
        <x:v>пробовал</x:v>
      </x:c>
      <x:c r="E3" s="2" t="n">
        <x:v>5</x:v>
      </x:c>
      <x:c r="F3" s="2" t="str">
        <x:v>да</x:v>
      </x:c>
      <x:c r="G3" s="2" t="str">
        <x:v>Успевал повторять действия на экране. После работы посмотрел запись. Задание 002.</x:v>
      </x:c>
      <x:c r="H3" s="2" t="str">
        <x:v>темп</x:v>
      </x:c>
      <x:c r="I3" s="2" t="str">
        <x:v>положительная</x:v>
      </x:c>
      <x:c r="J3" s="2" t="str">
        <x:v>Успевал повторять действия на экране</x:v>
      </x:c>
      <x:c r="K3" s="2" t="str">
        <x:v>нет</x:v>
      </x:c>
      <x:c r="L3" s="2"/>
      <x:c r="M3" s="2"/>
      <x:c r="N3" s="2" t="str">
        <x:v>темп</x:v>
      </x:c>
      <x:c r="O3" s="2" t="n">
        <x:f>COUNTIF(H2:H201,N3)</x:f>
        <x:v>25</x:v>
      </x:c>
    </x:row>
    <x:row r="4" ht="26" customHeight="1">
      <x:c r="A4" s="2" t="str">
        <x:v>R003</x:v>
      </x:c>
      <x:c r="B4" s="7" t="d">
        <x:v>2026-09-03T00:00:00.000Z</x:v>
      </x:c>
      <x:c r="C4" s="2" t="str">
        <x:v>Поиск</x:v>
      </x:c>
      <x:c r="D4" s="2" t="str">
        <x:v>использую</x:v>
      </x:c>
      <x:c r="E4" s="2" t="n">
        <x:v>5</x:v>
      </x:c>
      <x:c r="F4" s="2" t="str">
        <x:v>да</x:v>
      </x:c>
      <x:c r="G4" s="2" t="str">
        <x:v>Сам сделал письмо клиенту по образцу. После работы посмотрел запись. Задание 003.</x:v>
      </x:c>
      <x:c r="H4" s="2" t="str">
        <x:v>практика</x:v>
      </x:c>
      <x:c r="I4" s="2" t="str">
        <x:v>положительная</x:v>
      </x:c>
      <x:c r="J4" s="2" t="str">
        <x:v>Сам сделал письмо клиенту по образцу</x:v>
      </x:c>
      <x:c r="K4" s="2" t="str">
        <x:v>нет</x:v>
      </x:c>
      <x:c r="L4" s="2"/>
      <x:c r="M4" s="2"/>
      <x:c r="N4" s="2" t="str">
        <x:v>практика</x:v>
      </x:c>
      <x:c r="O4" s="2" t="n">
        <x:f>COUNTIF(H2:H201,N4)</x:f>
        <x:v>25</x:v>
      </x:c>
    </x:row>
    <x:row r="5" ht="26" customHeight="1">
      <x:c r="A5" s="2" t="str">
        <x:v>R004</x:v>
      </x:c>
      <x:c r="B5" s="7" t="d">
        <x:v>2026-09-04T00:00:00.000Z</x:v>
      </x:c>
      <x:c r="C5" s="2" t="str">
        <x:v>Таблицы</x:v>
      </x:c>
      <x:c r="D5" s="2" t="str">
        <x:v>с нуля</x:v>
      </x:c>
      <x:c r="E5" s="2" t="n">
        <x:v>5</x:v>
      </x:c>
      <x:c r="F5" s="2" t="str">
        <x:v>да</x:v>
      </x:c>
      <x:c r="G5" s="2" t="str">
        <x:v>Получилось войти в сервис и выполнить задание. После работы посмотрел запись. Задание 004.</x:v>
      </x:c>
      <x:c r="H5" s="2" t="str">
        <x:v>доступ к сервисам</x:v>
      </x:c>
      <x:c r="I5" s="2" t="str">
        <x:v>положительная</x:v>
      </x:c>
      <x:c r="J5" s="2" t="str">
        <x:v>Получилось войти в сервис и выполнить задание</x:v>
      </x:c>
      <x:c r="K5" s="2" t="str">
        <x:v>нет</x:v>
      </x:c>
      <x:c r="L5" s="2"/>
      <x:c r="M5" s="2"/>
      <x:c r="N5" s="2" t="str">
        <x:v>доступ к сервисам</x:v>
      </x:c>
      <x:c r="O5" s="2" t="n">
        <x:f>COUNTIF(H2:H201,N5)</x:f>
        <x:v>25</x:v>
      </x:c>
    </x:row>
    <x:row r="6" ht="26" customHeight="1">
      <x:c r="A6" s="2" t="str">
        <x:v>R005</x:v>
      </x:c>
      <x:c r="B6" s="7" t="d">
        <x:v>2026-09-05T00:00:00.000Z</x:v>
      </x:c>
      <x:c r="C6" s="2" t="str">
        <x:v>Письма</x:v>
      </x:c>
      <x:c r="D6" s="2" t="str">
        <x:v>пробовал</x:v>
      </x:c>
      <x:c r="E6" s="2" t="n">
        <x:v>5</x:v>
      </x:c>
      <x:c r="F6" s="2" t="str">
        <x:v>да</x:v>
      </x:c>
      <x:c r="G6" s="2" t="str">
        <x:v>Нашёл подходящий бесплатный инструмент. После работы посмотрел запись. Задание 005.</x:v>
      </x:c>
      <x:c r="H6" s="2" t="str">
        <x:v>стоимость сервисов</x:v>
      </x:c>
      <x:c r="I6" s="2" t="str">
        <x:v>положительная</x:v>
      </x:c>
      <x:c r="J6" s="2" t="str">
        <x:v>Нашёл подходящий бесплатный инструмент</x:v>
      </x:c>
      <x:c r="K6" s="2" t="str">
        <x:v>нет</x:v>
      </x:c>
      <x:c r="L6" s="2"/>
      <x:c r="M6" s="2"/>
      <x:c r="N6" s="2" t="str">
        <x:v>стоимость сервисов</x:v>
      </x:c>
      <x:c r="O6" s="2" t="n">
        <x:f>COUNTIF(H2:H201,N6)</x:f>
        <x:v>25</x:v>
      </x:c>
    </x:row>
    <x:row r="7" ht="26" customHeight="1">
      <x:c r="A7" s="2" t="str">
        <x:v>R006</x:v>
      </x:c>
      <x:c r="B7" s="7" t="d">
        <x:v>2026-09-06T00:00:00.000Z</x:v>
      </x:c>
      <x:c r="C7" s="2" t="str">
        <x:v>Презентации</x:v>
      </x:c>
      <x:c r="D7" s="2" t="str">
        <x:v>использую</x:v>
      </x:c>
      <x:c r="E7" s="2" t="n">
        <x:v>5</x:v>
      </x:c>
      <x:c r="F7" s="2" t="str">
        <x:v>да</x:v>
      </x:c>
      <x:c r="G7" s="2" t="str">
        <x:v>Сохранил памятку и повторил по ней шаги. После работы посмотрел запись. Задание 006.</x:v>
      </x:c>
      <x:c r="H7" s="2" t="str">
        <x:v>материалы</x:v>
      </x:c>
      <x:c r="I7" s="2" t="str">
        <x:v>положительная</x:v>
      </x:c>
      <x:c r="J7" s="2" t="str">
        <x:v>Сохранил памятку и повторил по ней шаги</x:v>
      </x:c>
      <x:c r="K7" s="2" t="str">
        <x:v>нет</x:v>
      </x:c>
      <x:c r="L7" s="2"/>
      <x:c r="M7" s="2"/>
      <x:c r="N7" s="2" t="str">
        <x:v>материалы</x:v>
      </x:c>
      <x:c r="O7" s="2" t="n">
        <x:f>COUNTIF(H2:H201,N7)</x:f>
        <x:v>25</x:v>
      </x:c>
    </x:row>
    <x:row r="8" ht="26" customHeight="1">
      <x:c r="A8" s="2" t="str">
        <x:v>R007</x:v>
      </x:c>
      <x:c r="B8" s="7" t="d">
        <x:v>2026-09-07T00:00:00.000Z</x:v>
      </x:c>
      <x:c r="C8" s="2" t="str">
        <x:v>Поиск</x:v>
      </x:c>
      <x:c r="D8" s="2" t="str">
        <x:v>с нуля</x:v>
      </x:c>
      <x:c r="E8" s="2" t="n">
        <x:v>5</x:v>
      </x:c>
      <x:c r="F8" s="2" t="str">
        <x:v>да</x:v>
      </x:c>
      <x:c r="G8" s="2" t="str">
        <x:v>Ссылка пришла вовремя, звук был хороший. После работы посмотрел запись. Задание 007.</x:v>
      </x:c>
      <x:c r="H8" s="2" t="str">
        <x:v>организация</x:v>
      </x:c>
      <x:c r="I8" s="2" t="str">
        <x:v>положительная</x:v>
      </x:c>
      <x:c r="J8" s="2" t="str">
        <x:v>Ссылка пришла вовремя, звук был хороший</x:v>
      </x:c>
      <x:c r="K8" s="2" t="str">
        <x:v>нет</x:v>
      </x:c>
      <x:c r="L8" s="2"/>
      <x:c r="M8" s="2"/>
      <x:c r="N8" s="2" t="str">
        <x:v>организация</x:v>
      </x:c>
      <x:c r="O8" s="2" t="n">
        <x:f>COUNTIF(H2:H201,N8)</x:f>
        <x:v>25</x:v>
      </x:c>
    </x:row>
    <x:row r="9" ht="26" customHeight="1">
      <x:c r="A9" s="2" t="str">
        <x:v>R008</x:v>
      </x:c>
      <x:c r="B9" s="7" t="d">
        <x:v>2026-09-08T00:00:00.000Z</x:v>
      </x:c>
      <x:c r="C9" s="2" t="str">
        <x:v>Таблицы</x:v>
      </x:c>
      <x:c r="D9" s="2" t="str">
        <x:v>пробовал</x:v>
      </x:c>
      <x:c r="E9" s="2" t="n">
        <x:v>5</x:v>
      </x:c>
      <x:c r="F9" s="2" t="str">
        <x:v>да</x:v>
      </x:c>
      <x:c r="G9" s="2" t="str">
        <x:v>Спасибо за занятие. После работы посмотрел запись. Задание 008.</x:v>
      </x:c>
      <x:c r="H9" s="2" t="str">
        <x:v>другое</x:v>
      </x:c>
      <x:c r="I9" s="2" t="str">
        <x:v>положительная</x:v>
      </x:c>
      <x:c r="J9" s="2" t="str">
        <x:v>Спасибо за занятие</x:v>
      </x:c>
      <x:c r="K9" s="2" t="str">
        <x:v>нет</x:v>
      </x:c>
      <x:c r="L9" s="2"/>
      <x:c r="M9" s="2"/>
      <x:c r="N9" s="2" t="str">
        <x:v>другое</x:v>
      </x:c>
      <x:c r="O9" s="2" t="n">
        <x:f>COUNTIF(H2:H201,N9)</x:f>
        <x:v>25</x:v>
      </x:c>
    </x:row>
    <x:row r="10" ht="26" customHeight="1">
      <x:c r="A10" s="2" t="str">
        <x:v>R009</x:v>
      </x:c>
      <x:c r="B10" s="7" t="d">
        <x:v>2026-09-09T00:00:00.000Z</x:v>
      </x:c>
      <x:c r="C10" s="2" t="str">
        <x:v>Письма</x:v>
      </x:c>
      <x:c r="D10" s="2" t="str">
        <x:v>использую</x:v>
      </x:c>
      <x:c r="E10" s="2" t="n">
        <x:v>2</x:v>
      </x:c>
      <x:c r="F10" s="2" t="str">
        <x:v>нет</x:v>
      </x:c>
      <x:c r="G10" s="2" t="str">
        <x:v>Не понял разницу между задачей и запросом. После работы посмотрел запись. Задание 009.</x:v>
      </x:c>
      <x:c r="H10" s="2" t="str">
        <x:v>понятность</x:v>
      </x:c>
      <x:c r="I10" s="2" t="str">
        <x:v>отрицательная</x:v>
      </x:c>
      <x:c r="J10" s="2" t="str">
        <x:v>Не понял разницу между задачей и запросом</x:v>
      </x:c>
      <x:c r="K10" s="2" t="str">
        <x:v>нет</x:v>
      </x:c>
      <x:c r="L10" s="2"/>
      <x:c r="M10" s="2"/>
      <x:c r="N10" s="2"/>
      <x:c r="O10" s="2"/>
    </x:row>
    <x:row r="11" ht="26" customHeight="1">
      <x:c r="A11" s="2" t="str">
        <x:v>R010</x:v>
      </x:c>
      <x:c r="B11" s="7" t="d">
        <x:v>2026-09-10T00:00:00.000Z</x:v>
      </x:c>
      <x:c r="C11" s="2" t="str">
        <x:v>Презентации</x:v>
      </x:c>
      <x:c r="D11" s="2" t="str">
        <x:v>с нуля</x:v>
      </x:c>
      <x:c r="E11" s="2" t="n">
        <x:v>2</x:v>
      </x:c>
      <x:c r="F11" s="2" t="str">
        <x:v>нет</x:v>
      </x:c>
      <x:c r="G11" s="2" t="str">
        <x:v>Слишком быстро переключались между окнами. После работы посмотрел запись. Задание 010.</x:v>
      </x:c>
      <x:c r="H11" s="2" t="str">
        <x:v>темп</x:v>
      </x:c>
      <x:c r="I11" s="2" t="str">
        <x:v>отрицательная</x:v>
      </x:c>
      <x:c r="J11" s="2" t="str">
        <x:v>Слишком быстро переключались между окнами</x:v>
      </x:c>
      <x:c r="K11" s="2" t="str">
        <x:v>нет</x:v>
      </x:c>
      <x:c r="L11" s="2"/>
      <x:c r="M11" s="2"/>
      <x:c r="N11" s="2"/>
      <x:c r="O11" s="2"/>
    </x:row>
    <x:row r="12" ht="26" customHeight="1">
      <x:c r="A12" s="2" t="str">
        <x:v>R011</x:v>
      </x:c>
      <x:c r="B12" s="7" t="d">
        <x:v>2026-09-11T00:00:00.000Z</x:v>
      </x:c>
      <x:c r="C12" s="2" t="str">
        <x:v>Поиск</x:v>
      </x:c>
      <x:c r="D12" s="2" t="str">
        <x:v>пробовал</x:v>
      </x:c>
      <x:c r="E12" s="2" t="n">
        <x:v>2</x:v>
      </x:c>
      <x:c r="F12" s="2" t="str">
        <x:v>нет</x:v>
      </x:c>
      <x:c r="G12" s="2" t="str">
        <x:v>Не хватило самостоятельной практики. После работы посмотрел запись. Задание 011.</x:v>
      </x:c>
      <x:c r="H12" s="2" t="str">
        <x:v>практика</x:v>
      </x:c>
      <x:c r="I12" s="2" t="str">
        <x:v>отрицательная</x:v>
      </x:c>
      <x:c r="J12" s="2" t="str">
        <x:v>Не хватило самостоятельной практики</x:v>
      </x:c>
      <x:c r="K12" s="2" t="str">
        <x:v>нет</x:v>
      </x:c>
      <x:c r="L12" s="2"/>
      <x:c r="M12" s="2"/>
      <x:c r="N12" s="2"/>
      <x:c r="O12" s="2"/>
    </x:row>
    <x:row r="13" ht="26" customHeight="1">
      <x:c r="A13" s="2" t="str">
        <x:v>R012</x:v>
      </x:c>
      <x:c r="B13" s="7" t="d">
        <x:v>2026-09-12T00:00:00.000Z</x:v>
      </x:c>
      <x:c r="C13" s="2" t="str">
        <x:v>Таблицы</x:v>
      </x:c>
      <x:c r="D13" s="2" t="str">
        <x:v>использую</x:v>
      </x:c>
      <x:c r="E13" s="2" t="n">
        <x:v>2</x:v>
      </x:c>
      <x:c r="F13" s="2" t="str">
        <x:v>нет</x:v>
      </x:c>
      <x:c r="G13" s="2" t="str">
        <x:v>Не удалось зарегистрироваться в сервисе. После работы посмотрел запись. Задание 012.</x:v>
      </x:c>
      <x:c r="H13" s="2" t="str">
        <x:v>доступ к сервисам</x:v>
      </x:c>
      <x:c r="I13" s="2" t="str">
        <x:v>отрицательная</x:v>
      </x:c>
      <x:c r="J13" s="2" t="str">
        <x:v>Не удалось зарегистрироваться в сервисе</x:v>
      </x:c>
      <x:c r="K13" s="2" t="str">
        <x:v>нет</x:v>
      </x:c>
      <x:c r="L13" s="2"/>
      <x:c r="M13" s="2"/>
      <x:c r="N13" s="2"/>
      <x:c r="O13" s="2"/>
    </x:row>
    <x:row r="14" ht="26" customHeight="1">
      <x:c r="A14" s="2" t="str">
        <x:v>R013</x:v>
      </x:c>
      <x:c r="B14" s="7" t="d">
        <x:v>2026-09-13T00:00:00.000Z</x:v>
      </x:c>
      <x:c r="C14" s="2" t="str">
        <x:v>Письма</x:v>
      </x:c>
      <x:c r="D14" s="2" t="str">
        <x:v>с нуля</x:v>
      </x:c>
      <x:c r="E14" s="2" t="n">
        <x:v>2</x:v>
      </x:c>
      <x:c r="F14" s="2" t="str">
        <x:v>нет</x:v>
      </x:c>
      <x:c r="G14" s="2" t="str">
        <x:v>Непонятно, какие функции требуют оплаты. После работы посмотрел запись. Задание 013.</x:v>
      </x:c>
      <x:c r="H14" s="2" t="str">
        <x:v>стоимость сервисов</x:v>
      </x:c>
      <x:c r="I14" s="2" t="str">
        <x:v>отрицательная</x:v>
      </x:c>
      <x:c r="J14" s="2" t="str">
        <x:v>Непонятно, какие функции требуют оплаты</x:v>
      </x:c>
      <x:c r="K14" s="2" t="str">
        <x:v>нет</x:v>
      </x:c>
      <x:c r="L14" s="2"/>
      <x:c r="M14" s="2"/>
      <x:c r="N14" s="2"/>
      <x:c r="O14" s="2"/>
    </x:row>
    <x:row r="15" ht="26" customHeight="1">
      <x:c r="A15" s="2" t="str">
        <x:v>R014</x:v>
      </x:c>
      <x:c r="B15" s="7" t="d">
        <x:v>2026-09-14T00:00:00.000Z</x:v>
      </x:c>
      <x:c r="C15" s="2" t="str">
        <x:v>Презентации</x:v>
      </x:c>
      <x:c r="D15" s="2" t="str">
        <x:v>пробовал</x:v>
      </x:c>
      <x:c r="E15" s="2" t="n">
        <x:v>2</x:v>
      </x:c>
      <x:c r="F15" s="2" t="str">
        <x:v>нет</x:v>
      </x:c>
      <x:c r="G15" s="2" t="str">
        <x:v>Не нашёл файл с примером после занятия. После работы посмотрел запись. Задание 014.</x:v>
      </x:c>
      <x:c r="H15" s="2" t="str">
        <x:v>материалы</x:v>
      </x:c>
      <x:c r="I15" s="2" t="str">
        <x:v>отрицательная</x:v>
      </x:c>
      <x:c r="J15" s="2" t="str">
        <x:v>Не нашёл файл с примером после занятия</x:v>
      </x:c>
      <x:c r="K15" s="2" t="str">
        <x:v>нет</x:v>
      </x:c>
      <x:c r="L15" s="2"/>
      <x:c r="M15" s="2"/>
      <x:c r="N15" s="2"/>
      <x:c r="O15" s="2"/>
    </x:row>
    <x:row r="16" ht="26" customHeight="1">
      <x:c r="A16" s="2" t="str">
        <x:v>R015</x:v>
      </x:c>
      <x:c r="B16" s="7" t="d">
        <x:v>2026-09-15T00:00:00.000Z</x:v>
      </x:c>
      <x:c r="C16" s="2" t="str">
        <x:v>Поиск</x:v>
      </x:c>
      <x:c r="D16" s="2" t="str">
        <x:v>использую</x:v>
      </x:c>
      <x:c r="E16" s="2" t="n">
        <x:v>2</x:v>
      </x:c>
      <x:c r="F16" s="2" t="str">
        <x:v>нет</x:v>
      </x:c>
      <x:c r="G16" s="2" t="str">
        <x:v>Не было слышно часть объяснения. После работы посмотрел запись. Задание 015.</x:v>
      </x:c>
      <x:c r="H16" s="2" t="str">
        <x:v>организация</x:v>
      </x:c>
      <x:c r="I16" s="2" t="str">
        <x:v>отрицательная</x:v>
      </x:c>
      <x:c r="J16" s="2" t="str">
        <x:v>Не было слышно часть объяснения</x:v>
      </x:c>
      <x:c r="K16" s="2" t="str">
        <x:v>нет</x:v>
      </x:c>
      <x:c r="L16" s="2"/>
      <x:c r="M16" s="2"/>
      <x:c r="N16" s="2"/>
      <x:c r="O16" s="2"/>
    </x:row>
    <x:row r="17" ht="26" customHeight="1">
      <x:c r="A17" s="2" t="str">
        <x:v>R016</x:v>
      </x:c>
      <x:c r="B17" s="7" t="d">
        <x:v>2026-09-16T00:00:00.000Z</x:v>
      </x:c>
      <x:c r="C17" s="2" t="str">
        <x:v>Таблицы</x:v>
      </x:c>
      <x:c r="D17" s="2" t="str">
        <x:v>с нуля</x:v>
      </x:c>
      <x:c r="E17" s="2" t="n">
        <x:v>3</x:v>
      </x:c>
      <x:c r="F17" s="2" t="str">
        <x:v>нет</x:v>
      </x:c>
      <x:c r="G17" s="2" t="str">
        <x:v>Нормально. После работы посмотрел запись. Задание 016.</x:v>
      </x:c>
      <x:c r="H17" s="2" t="str">
        <x:v>другое</x:v>
      </x:c>
      <x:c r="I17" s="2" t="str">
        <x:v>нейтральная</x:v>
      </x:c>
      <x:c r="J17" s="2" t="str">
        <x:v>Нормально</x:v>
      </x:c>
      <x:c r="K17" s="2" t="str">
        <x:v>да</x:v>
      </x:c>
      <x:c r="L17" s="2"/>
      <x:c r="M17" s="2"/>
      <x:c r="N17" s="2"/>
      <x:c r="O17" s="2"/>
    </x:row>
    <x:row r="18" ht="26" customHeight="1">
      <x:c r="A18" s="2" t="str">
        <x:v>R017</x:v>
      </x:c>
      <x:c r="B18" s="7" t="d">
        <x:v>2026-09-17T00:00:00.000Z</x:v>
      </x:c>
      <x:c r="C18" s="2" t="str">
        <x:v>Письма</x:v>
      </x:c>
      <x:c r="D18" s="2" t="str">
        <x:v>пробовал</x:v>
      </x:c>
      <x:c r="E18" s="2" t="n">
        <x:v>3</x:v>
      </x:c>
      <x:c r="F18" s="2" t="str">
        <x:v>нет</x:v>
      </x:c>
      <x:c r="G18" s="2" t="str">
        <x:v>Термины объяснили понятно, но часть шагов осталась неясной. После работы посмотрел запись. Задание 017.</x:v>
      </x:c>
      <x:c r="H18" s="2" t="str">
        <x:v>понятность</x:v>
      </x:c>
      <x:c r="I18" s="2" t="str">
        <x:v>смешанная</x:v>
      </x:c>
      <x:c r="J18" s="2" t="str">
        <x:v>Термины объяснили понятно, но часть шагов осталась неясной</x:v>
      </x:c>
      <x:c r="K18" s="2" t="str">
        <x:v>да</x:v>
      </x:c>
      <x:c r="L18" s="2"/>
      <x:c r="M18" s="2"/>
      <x:c r="N18" s="2"/>
      <x:c r="O18" s="2"/>
    </x:row>
    <x:row r="19" ht="26" customHeight="1">
      <x:c r="A19" s="2" t="str">
        <x:v>R018</x:v>
      </x:c>
      <x:c r="B19" s="7" t="d">
        <x:v>2026-09-18T00:00:00.000Z</x:v>
      </x:c>
      <x:c r="C19" s="2" t="str">
        <x:v>Презентации</x:v>
      </x:c>
      <x:c r="D19" s="2" t="str">
        <x:v>использую</x:v>
      </x:c>
      <x:c r="E19" s="2" t="n">
        <x:v>3</x:v>
      </x:c>
      <x:c r="F19" s="2" t="str">
        <x:v>нет</x:v>
      </x:c>
      <x:c r="G19" s="2" t="str">
        <x:v>Начало шло спокойно, а конец был слишком быстрым. После работы посмотрел запись. Задание 018.</x:v>
      </x:c>
      <x:c r="H19" s="2" t="str">
        <x:v>темп</x:v>
      </x:c>
      <x:c r="I19" s="2" t="str">
        <x:v>смешанная</x:v>
      </x:c>
      <x:c r="J19" s="2" t="str">
        <x:v>Начало шло спокойно, а конец был слишком быстрым</x:v>
      </x:c>
      <x:c r="K19" s="2" t="str">
        <x:v>да</x:v>
      </x:c>
      <x:c r="L19" s="2"/>
      <x:c r="M19" s="2"/>
      <x:c r="N19" s="2"/>
      <x:c r="O19" s="2"/>
    </x:row>
    <x:row r="20" ht="26" customHeight="1">
      <x:c r="A20" s="2" t="str">
        <x:v>R019</x:v>
      </x:c>
      <x:c r="B20" s="7" t="d">
        <x:v>2026-09-19T00:00:00.000Z</x:v>
      </x:c>
      <x:c r="C20" s="2" t="str">
        <x:v>Поиск</x:v>
      </x:c>
      <x:c r="D20" s="2" t="str">
        <x:v>с нуля</x:v>
      </x:c>
      <x:c r="E20" s="2" t="n">
        <x:v>4</x:v>
      </x:c>
      <x:c r="F20" s="2" t="str">
        <x:v>да</x:v>
      </x:c>
      <x:c r="G20" s="2" t="str">
        <x:v>Примеры полезные, но хочу задание для своей работы. После работы посмотрел запись. Задание 019.</x:v>
      </x:c>
      <x:c r="H20" s="2" t="str">
        <x:v>практика</x:v>
      </x:c>
      <x:c r="I20" s="2" t="str">
        <x:v>смешанная</x:v>
      </x:c>
      <x:c r="J20" s="2" t="str">
        <x:v>Примеры полезные, но хочу задание для своей работы</x:v>
      </x:c>
      <x:c r="K20" s="2" t="str">
        <x:v>да</x:v>
      </x:c>
      <x:c r="L20" s="2"/>
      <x:c r="M20" s="2"/>
      <x:c r="N20" s="2"/>
      <x:c r="O20" s="2"/>
    </x:row>
    <x:row r="21" ht="26" customHeight="1">
      <x:c r="A21" s="2" t="str">
        <x:v>R020</x:v>
      </x:c>
      <x:c r="B21" s="7" t="d">
        <x:v>2026-09-20T00:00:00.000Z</x:v>
      </x:c>
      <x:c r="C21" s="2" t="str">
        <x:v>Таблицы</x:v>
      </x:c>
      <x:c r="D21" s="2" t="str">
        <x:v>пробовал</x:v>
      </x:c>
      <x:c r="E21" s="2" t="n">
        <x:v>4</x:v>
      </x:c>
      <x:c r="F21" s="2" t="str">
        <x:v>да</x:v>
      </x:c>
      <x:c r="G21" s="2" t="str">
        <x:v>Сначала не смог войти, потом помог резервный способ. После работы посмотрел запись. Задание 020.</x:v>
      </x:c>
      <x:c r="H21" s="2" t="str">
        <x:v>доступ к сервисам</x:v>
      </x:c>
      <x:c r="I21" s="2" t="str">
        <x:v>смешанная</x:v>
      </x:c>
      <x:c r="J21" s="2" t="str">
        <x:v>Сначала не смог войти, потом помог резервный способ</x:v>
      </x:c>
      <x:c r="K21" s="2" t="str">
        <x:v>да</x:v>
      </x:c>
      <x:c r="L21" s="2"/>
      <x:c r="M21" s="2"/>
      <x:c r="N21" s="2"/>
      <x:c r="O21" s="2"/>
    </x:row>
    <x:row r="22" ht="26" customHeight="1">
      <x:c r="A22" s="2" t="str">
        <x:v>R021</x:v>
      </x:c>
      <x:c r="B22" s="7" t="d">
        <x:v>2026-09-21T00:00:00.000Z</x:v>
      </x:c>
      <x:c r="C22" s="2" t="str">
        <x:v>Письма</x:v>
      </x:c>
      <x:c r="D22" s="2" t="str">
        <x:v>использую</x:v>
      </x:c>
      <x:c r="E22" s="2" t="n">
        <x:v>3</x:v>
      </x:c>
      <x:c r="F22" s="2" t="str">
        <x:v>нет</x:v>
      </x:c>
      <x:c r="G22" s="2" t="str">
        <x:v>Бесплатного режима хватило для примера, но дальше есть ограничения. После работы посмотрел запись. Задание 021.</x:v>
      </x:c>
      <x:c r="H22" s="2" t="str">
        <x:v>стоимость сервисов</x:v>
      </x:c>
      <x:c r="I22" s="2" t="str">
        <x:v>смешанная</x:v>
      </x:c>
      <x:c r="J22" s="2" t="str">
        <x:v>Бесплатного режима хватило для примера, но дальше есть ограничения</x:v>
      </x:c>
      <x:c r="K22" s="2" t="str">
        <x:v>да</x:v>
      </x:c>
      <x:c r="L22" s="2"/>
      <x:c r="M22" s="2"/>
      <x:c r="N22" s="2"/>
      <x:c r="O22" s="2"/>
    </x:row>
    <x:row r="23" ht="26" customHeight="1">
      <x:c r="A23" s="2" t="str">
        <x:v>R022</x:v>
      </x:c>
      <x:c r="B23" s="7" t="d">
        <x:v>2026-09-22T00:00:00.000Z</x:v>
      </x:c>
      <x:c r="C23" s="2" t="str">
        <x:v>Презентации</x:v>
      </x:c>
      <x:c r="D23" s="2" t="str">
        <x:v>с нуля</x:v>
      </x:c>
      <x:c r="E23" s="2" t="n">
        <x:v>4</x:v>
      </x:c>
      <x:c r="F23" s="2" t="str">
        <x:v>да</x:v>
      </x:c>
      <x:c r="G23" s="2" t="str">
        <x:v>Запись полезная, хотелось бы добавить таймкоды. После работы посмотрел запись. Задание 022.</x:v>
      </x:c>
      <x:c r="H23" s="2" t="str">
        <x:v>материалы</x:v>
      </x:c>
      <x:c r="I23" s="2" t="str">
        <x:v>смешанная</x:v>
      </x:c>
      <x:c r="J23" s="2" t="str">
        <x:v>Запись полезная, хотелось бы добавить таймкоды</x:v>
      </x:c>
      <x:c r="K23" s="2" t="str">
        <x:v>да</x:v>
      </x:c>
      <x:c r="L23" s="2"/>
      <x:c r="M23" s="2"/>
      <x:c r="N23" s="2"/>
      <x:c r="O23" s="2"/>
    </x:row>
    <x:row r="24" ht="26" customHeight="1">
      <x:c r="A24" s="2" t="str">
        <x:v>R023</x:v>
      </x:c>
      <x:c r="B24" s="7" t="d">
        <x:v>2026-09-23T00:00:00.000Z</x:v>
      </x:c>
      <x:c r="C24" s="2" t="str">
        <x:v>Поиск</x:v>
      </x:c>
      <x:c r="D24" s="2" t="str">
        <x:v>пробовал</x:v>
      </x:c>
      <x:c r="E24" s="2" t="n">
        <x:v>3</x:v>
      </x:c>
      <x:c r="F24" s="2" t="str">
        <x:v>нет</x:v>
      </x:c>
      <x:c r="G24" s="2" t="str">
        <x:v>Подключился легко, но вопросы в чате остались без ответа. После работы посмотрел запись. Задание 023.</x:v>
      </x:c>
      <x:c r="H24" s="2" t="str">
        <x:v>организация</x:v>
      </x:c>
      <x:c r="I24" s="2" t="str">
        <x:v>смешанная</x:v>
      </x:c>
      <x:c r="J24" s="2" t="str">
        <x:v>Подключился легко, но вопросы в чате остались без ответа</x:v>
      </x:c>
      <x:c r="K24" s="2" t="str">
        <x:v>да</x:v>
      </x:c>
      <x:c r="L24" s="2"/>
      <x:c r="M24" s="2"/>
      <x:c r="N24" s="2"/>
      <x:c r="O24" s="2"/>
    </x:row>
    <x:row r="25" ht="26" customHeight="1">
      <x:c r="A25" s="2" t="str">
        <x:v>R024</x:v>
      </x:c>
      <x:c r="B25" s="7" t="d">
        <x:v>2026-09-24T00:00:00.000Z</x:v>
      </x:c>
      <x:c r="C25" s="2" t="str">
        <x:v>Таблицы</x:v>
      </x:c>
      <x:c r="D25" s="2" t="str">
        <x:v>использую</x:v>
      </x:c>
      <x:c r="E25" s="2" t="n">
        <x:v>3</x:v>
      </x:c>
      <x:c r="F25" s="2" t="str">
        <x:v>нет</x:v>
      </x:c>
      <x:c r="G25" s="2" t="str">
        <x:v>Пока не решил, где буду это применять. После работы посмотрел запись. Задание 024.</x:v>
      </x:c>
      <x:c r="H25" s="2" t="str">
        <x:v>другое</x:v>
      </x:c>
      <x:c r="I25" s="2" t="str">
        <x:v>нейтральная</x:v>
      </x:c>
      <x:c r="J25" s="2" t="str">
        <x:v>Пока не решил, где буду это применять</x:v>
      </x:c>
      <x:c r="K25" s="2" t="str">
        <x:v>да</x:v>
      </x:c>
      <x:c r="L25" s="2"/>
      <x:c r="M25" s="2"/>
      <x:c r="N25" s="2"/>
      <x:c r="O25" s="2"/>
    </x:row>
    <x:row r="26" ht="26" customHeight="1">
      <x:c r="A26" s="2" t="str">
        <x:v>R025</x:v>
      </x:c>
      <x:c r="B26" s="7" t="d">
        <x:v>2026-09-25T00:00:00.000Z</x:v>
      </x:c>
      <x:c r="C26" s="2" t="str">
        <x:v>Письма</x:v>
      </x:c>
      <x:c r="D26" s="2" t="str">
        <x:v>с нуля</x:v>
      </x:c>
      <x:c r="E26" s="2" t="n">
        <x:v>5</x:v>
      </x:c>
      <x:c r="F26" s="2" t="str">
        <x:v>да</x:v>
      </x:c>
      <x:c r="G26" s="2" t="str">
        <x:v>Объяснение стало понятным после примера. Проверял на своём ноутбуке. Задание 025.</x:v>
      </x:c>
      <x:c r="H26" s="2" t="str">
        <x:v>понятность</x:v>
      </x:c>
      <x:c r="I26" s="2" t="str">
        <x:v>положительная</x:v>
      </x:c>
      <x:c r="J26" s="2" t="str">
        <x:v>Объяснение стало понятным после примера</x:v>
      </x:c>
      <x:c r="K26" s="2" t="str">
        <x:v>нет</x:v>
      </x:c>
      <x:c r="L26" s="2"/>
      <x:c r="M26" s="2"/>
      <x:c r="N26" s="2"/>
      <x:c r="O26" s="2"/>
    </x:row>
    <x:row r="27" ht="26" customHeight="1">
      <x:c r="A27" s="2" t="str">
        <x:v>R026</x:v>
      </x:c>
      <x:c r="B27" s="7" t="d">
        <x:v>2026-09-26T00:00:00.000Z</x:v>
      </x:c>
      <x:c r="C27" s="2" t="str">
        <x:v>Презентации</x:v>
      </x:c>
      <x:c r="D27" s="2" t="str">
        <x:v>пробовал</x:v>
      </x:c>
      <x:c r="E27" s="2" t="n">
        <x:v>5</x:v>
      </x:c>
      <x:c r="F27" s="2" t="str">
        <x:v>да</x:v>
      </x:c>
      <x:c r="G27" s="2" t="str">
        <x:v>Успевал повторять действия на экране. Проверял на своём ноутбуке. Задание 026.</x:v>
      </x:c>
      <x:c r="H27" s="2" t="str">
        <x:v>темп</x:v>
      </x:c>
      <x:c r="I27" s="2" t="str">
        <x:v>положительная</x:v>
      </x:c>
      <x:c r="J27" s="2" t="str">
        <x:v>Успевал повторять действия на экране</x:v>
      </x:c>
      <x:c r="K27" s="2" t="str">
        <x:v>нет</x:v>
      </x:c>
      <x:c r="L27" s="2"/>
      <x:c r="M27" s="2"/>
      <x:c r="N27" s="2"/>
      <x:c r="O27" s="2"/>
    </x:row>
    <x:row r="28" ht="26" customHeight="1">
      <x:c r="A28" s="2" t="str">
        <x:v>R027</x:v>
      </x:c>
      <x:c r="B28" s="7" t="d">
        <x:v>2026-09-27T00:00:00.000Z</x:v>
      </x:c>
      <x:c r="C28" s="2" t="str">
        <x:v>Поиск</x:v>
      </x:c>
      <x:c r="D28" s="2" t="str">
        <x:v>использую</x:v>
      </x:c>
      <x:c r="E28" s="2" t="n">
        <x:v>5</x:v>
      </x:c>
      <x:c r="F28" s="2" t="str">
        <x:v>да</x:v>
      </x:c>
      <x:c r="G28" s="2" t="str">
        <x:v>Сам сделал письмо клиенту по образцу. Проверял на своём ноутбуке. Задание 027.</x:v>
      </x:c>
      <x:c r="H28" s="2" t="str">
        <x:v>практика</x:v>
      </x:c>
      <x:c r="I28" s="2" t="str">
        <x:v>положительная</x:v>
      </x:c>
      <x:c r="J28" s="2" t="str">
        <x:v>Сам сделал письмо клиенту по образцу</x:v>
      </x:c>
      <x:c r="K28" s="2" t="str">
        <x:v>нет</x:v>
      </x:c>
      <x:c r="L28" s="2"/>
      <x:c r="M28" s="2"/>
      <x:c r="N28" s="2"/>
      <x:c r="O28" s="2"/>
    </x:row>
    <x:row r="29" ht="26" customHeight="1">
      <x:c r="A29" s="2" t="str">
        <x:v>R028</x:v>
      </x:c>
      <x:c r="B29" s="7" t="d">
        <x:v>2026-09-28T00:00:00.000Z</x:v>
      </x:c>
      <x:c r="C29" s="2" t="str">
        <x:v>Таблицы</x:v>
      </x:c>
      <x:c r="D29" s="2" t="str">
        <x:v>с нуля</x:v>
      </x:c>
      <x:c r="E29" s="2" t="n">
        <x:v>5</x:v>
      </x:c>
      <x:c r="F29" s="2" t="str">
        <x:v>да</x:v>
      </x:c>
      <x:c r="G29" s="2" t="str">
        <x:v>Получилось войти в сервис и выполнить задание. Проверял на своём ноутбуке. Задание 028.</x:v>
      </x:c>
      <x:c r="H29" s="2" t="str">
        <x:v>доступ к сервисам</x:v>
      </x:c>
      <x:c r="I29" s="2" t="str">
        <x:v>положительная</x:v>
      </x:c>
      <x:c r="J29" s="2" t="str">
        <x:v>Получилось войти в сервис и выполнить задание</x:v>
      </x:c>
      <x:c r="K29" s="2" t="str">
        <x:v>нет</x:v>
      </x:c>
      <x:c r="L29" s="2"/>
      <x:c r="M29" s="2"/>
      <x:c r="N29" s="2"/>
      <x:c r="O29" s="2"/>
    </x:row>
    <x:row r="30" ht="26" customHeight="1">
      <x:c r="A30" s="2" t="str">
        <x:v>R029</x:v>
      </x:c>
      <x:c r="B30" s="7" t="d">
        <x:v>2026-09-01T00:00:00.000Z</x:v>
      </x:c>
      <x:c r="C30" s="2" t="str">
        <x:v>Письма</x:v>
      </x:c>
      <x:c r="D30" s="2" t="str">
        <x:v>пробовал</x:v>
      </x:c>
      <x:c r="E30" s="2" t="n">
        <x:v>5</x:v>
      </x:c>
      <x:c r="F30" s="2" t="str">
        <x:v>да</x:v>
      </x:c>
      <x:c r="G30" s="2" t="str">
        <x:v>Нашёл подходящий бесплатный инструмент. Проверял на своём ноутбуке. Задание 029.</x:v>
      </x:c>
      <x:c r="H30" s="2" t="str">
        <x:v>стоимость сервисов</x:v>
      </x:c>
      <x:c r="I30" s="2" t="str">
        <x:v>положительная</x:v>
      </x:c>
      <x:c r="J30" s="2" t="str">
        <x:v>Нашёл подходящий бесплатный инструмент</x:v>
      </x:c>
      <x:c r="K30" s="2" t="str">
        <x:v>нет</x:v>
      </x:c>
      <x:c r="L30" s="2"/>
      <x:c r="M30" s="2"/>
      <x:c r="N30" s="2"/>
      <x:c r="O30" s="2"/>
    </x:row>
    <x:row r="31" ht="26" customHeight="1">
      <x:c r="A31" s="2" t="str">
        <x:v>R030</x:v>
      </x:c>
      <x:c r="B31" s="7" t="d">
        <x:v>2026-09-02T00:00:00.000Z</x:v>
      </x:c>
      <x:c r="C31" s="2" t="str">
        <x:v>Презентации</x:v>
      </x:c>
      <x:c r="D31" s="2" t="str">
        <x:v>использую</x:v>
      </x:c>
      <x:c r="E31" s="2" t="n">
        <x:v>5</x:v>
      </x:c>
      <x:c r="F31" s="2" t="str">
        <x:v>да</x:v>
      </x:c>
      <x:c r="G31" s="2" t="str">
        <x:v>Сохранил памятку и повторил по ней шаги. Проверял на своём ноутбуке. Задание 030.</x:v>
      </x:c>
      <x:c r="H31" s="2" t="str">
        <x:v>материалы</x:v>
      </x:c>
      <x:c r="I31" s="2" t="str">
        <x:v>положительная</x:v>
      </x:c>
      <x:c r="J31" s="2" t="str">
        <x:v>Сохранил памятку и повторил по ней шаги</x:v>
      </x:c>
      <x:c r="K31" s="2" t="str">
        <x:v>нет</x:v>
      </x:c>
      <x:c r="L31" s="2"/>
      <x:c r="M31" s="2"/>
      <x:c r="N31" s="2"/>
      <x:c r="O31" s="2"/>
    </x:row>
    <x:row r="32" ht="26" customHeight="1">
      <x:c r="A32" s="2" t="str">
        <x:v>R031</x:v>
      </x:c>
      <x:c r="B32" s="7" t="d">
        <x:v>2026-09-03T00:00:00.000Z</x:v>
      </x:c>
      <x:c r="C32" s="2" t="str">
        <x:v>Поиск</x:v>
      </x:c>
      <x:c r="D32" s="2" t="str">
        <x:v>с нуля</x:v>
      </x:c>
      <x:c r="E32" s="2" t="n">
        <x:v>5</x:v>
      </x:c>
      <x:c r="F32" s="2"/>
      <x:c r="G32" s="2" t="str">
        <x:v>Ссылка пришла вовремя, звук был хороший. Проверял на своём ноутбуке. Задание 031.</x:v>
      </x:c>
      <x:c r="H32" s="2" t="str">
        <x:v>организация</x:v>
      </x:c>
      <x:c r="I32" s="2" t="str">
        <x:v>положительная</x:v>
      </x:c>
      <x:c r="J32" s="2" t="str">
        <x:v>Ссылка пришла вовремя, звук был хороший</x:v>
      </x:c>
      <x:c r="K32" s="2" t="str">
        <x:v>нет</x:v>
      </x:c>
      <x:c r="L32" s="2"/>
      <x:c r="M32" s="2"/>
      <x:c r="N32" s="2"/>
      <x:c r="O32" s="2"/>
    </x:row>
    <x:row r="33" ht="26" customHeight="1">
      <x:c r="A33" s="2" t="str">
        <x:v>R032</x:v>
      </x:c>
      <x:c r="B33" s="7" t="d">
        <x:v>2026-09-04T00:00:00.000Z</x:v>
      </x:c>
      <x:c r="C33" s="2" t="str">
        <x:v>Таблицы</x:v>
      </x:c>
      <x:c r="D33" s="2" t="str">
        <x:v>пробовал</x:v>
      </x:c>
      <x:c r="E33" s="2" t="n">
        <x:v>5</x:v>
      </x:c>
      <x:c r="F33" s="2" t="str">
        <x:v>да</x:v>
      </x:c>
      <x:c r="G33" s="2" t="str">
        <x:v>Спасибо за занятие. Проверял на своём ноутбуке. Задание 032.</x:v>
      </x:c>
      <x:c r="H33" s="2" t="str">
        <x:v>другое</x:v>
      </x:c>
      <x:c r="I33" s="2" t="str">
        <x:v>положительная</x:v>
      </x:c>
      <x:c r="J33" s="2" t="str">
        <x:v>Спасибо за занятие</x:v>
      </x:c>
      <x:c r="K33" s="2" t="str">
        <x:v>нет</x:v>
      </x:c>
      <x:c r="L33" s="2"/>
      <x:c r="M33" s="2"/>
      <x:c r="N33" s="2"/>
      <x:c r="O33" s="2"/>
    </x:row>
    <x:row r="34" ht="26" customHeight="1">
      <x:c r="A34" s="2" t="str">
        <x:v>R033</x:v>
      </x:c>
      <x:c r="B34" s="7" t="d">
        <x:v>2026-09-05T00:00:00.000Z</x:v>
      </x:c>
      <x:c r="C34" s="2" t="str">
        <x:v>Письма</x:v>
      </x:c>
      <x:c r="D34" s="2" t="str">
        <x:v>использую</x:v>
      </x:c>
      <x:c r="E34" s="2" t="n">
        <x:v>2</x:v>
      </x:c>
      <x:c r="F34" s="2" t="str">
        <x:v>нет</x:v>
      </x:c>
      <x:c r="G34" s="2" t="str">
        <x:v>Не понял разницу между задачей и запросом. Проверял на своём ноутбуке. Задание 033.</x:v>
      </x:c>
      <x:c r="H34" s="2" t="str">
        <x:v>понятность</x:v>
      </x:c>
      <x:c r="I34" s="2" t="str">
        <x:v>отрицательная</x:v>
      </x:c>
      <x:c r="J34" s="2" t="str">
        <x:v>Не понял разницу между задачей и запросом</x:v>
      </x:c>
      <x:c r="K34" s="2" t="str">
        <x:v>нет</x:v>
      </x:c>
      <x:c r="L34" s="2"/>
      <x:c r="M34" s="2"/>
      <x:c r="N34" s="2"/>
      <x:c r="O34" s="2"/>
    </x:row>
    <x:row r="35" ht="26" customHeight="1">
      <x:c r="A35" s="2" t="str">
        <x:v>R034</x:v>
      </x:c>
      <x:c r="B35" s="7" t="d">
        <x:v>2026-09-06T00:00:00.000Z</x:v>
      </x:c>
      <x:c r="C35" s="2" t="str">
        <x:v>Презентации</x:v>
      </x:c>
      <x:c r="D35" s="2" t="str">
        <x:v>с нуля</x:v>
      </x:c>
      <x:c r="E35" s="2" t="n">
        <x:v>2</x:v>
      </x:c>
      <x:c r="F35" s="2" t="str">
        <x:v>нет</x:v>
      </x:c>
      <x:c r="G35" s="2" t="str">
        <x:v>Слишком быстро переключались между окнами. Проверял на своём ноутбуке. Задание 034.</x:v>
      </x:c>
      <x:c r="H35" s="2" t="str">
        <x:v>темп</x:v>
      </x:c>
      <x:c r="I35" s="2" t="str">
        <x:v>отрицательная</x:v>
      </x:c>
      <x:c r="J35" s="2" t="str">
        <x:v>Слишком быстро переключались между окнами</x:v>
      </x:c>
      <x:c r="K35" s="2" t="str">
        <x:v>нет</x:v>
      </x:c>
      <x:c r="L35" s="2"/>
      <x:c r="M35" s="2"/>
      <x:c r="N35" s="2"/>
      <x:c r="O35" s="2"/>
    </x:row>
    <x:row r="36" ht="26" customHeight="1">
      <x:c r="A36" s="2" t="str">
        <x:v>R035</x:v>
      </x:c>
      <x:c r="B36" s="7" t="d">
        <x:v>2026-09-07T00:00:00.000Z</x:v>
      </x:c>
      <x:c r="C36" s="2" t="str">
        <x:v>Поиск</x:v>
      </x:c>
      <x:c r="D36" s="2" t="str">
        <x:v>пробовал</x:v>
      </x:c>
      <x:c r="E36" s="2" t="n">
        <x:v>2</x:v>
      </x:c>
      <x:c r="F36" s="2" t="str">
        <x:v>нет</x:v>
      </x:c>
      <x:c r="G36" s="2" t="str">
        <x:v>Не хватило самостоятельной практики. Проверял на своём ноутбуке. Задание 035.</x:v>
      </x:c>
      <x:c r="H36" s="2" t="str">
        <x:v>практика</x:v>
      </x:c>
      <x:c r="I36" s="2" t="str">
        <x:v>отрицательная</x:v>
      </x:c>
      <x:c r="J36" s="2" t="str">
        <x:v>Не хватило самостоятельной практики</x:v>
      </x:c>
      <x:c r="K36" s="2" t="str">
        <x:v>нет</x:v>
      </x:c>
      <x:c r="L36" s="2"/>
      <x:c r="M36" s="2"/>
      <x:c r="N36" s="2"/>
      <x:c r="O36" s="2"/>
    </x:row>
    <x:row r="37" ht="26" customHeight="1">
      <x:c r="A37" s="2" t="str">
        <x:v>R036</x:v>
      </x:c>
      <x:c r="B37" s="7" t="d">
        <x:v>2026-09-08T00:00:00.000Z</x:v>
      </x:c>
      <x:c r="C37" s="2" t="str">
        <x:v>Таблицы</x:v>
      </x:c>
      <x:c r="D37" s="2" t="str">
        <x:v>использую</x:v>
      </x:c>
      <x:c r="E37" s="2" t="n">
        <x:v>2</x:v>
      </x:c>
      <x:c r="F37" s="2" t="str">
        <x:v>нет</x:v>
      </x:c>
      <x:c r="G37" s="2" t="str">
        <x:v>Не удалось зарегистрироваться в сервисе. Проверял на своём ноутбуке. Задание 036.</x:v>
      </x:c>
      <x:c r="H37" s="2" t="str">
        <x:v>доступ к сервисам</x:v>
      </x:c>
      <x:c r="I37" s="2" t="str">
        <x:v>отрицательная</x:v>
      </x:c>
      <x:c r="J37" s="2" t="str">
        <x:v>Не удалось зарегистрироваться в сервисе</x:v>
      </x:c>
      <x:c r="K37" s="2" t="str">
        <x:v>нет</x:v>
      </x:c>
      <x:c r="L37" s="2"/>
      <x:c r="M37" s="2"/>
      <x:c r="N37" s="2"/>
      <x:c r="O37" s="2"/>
    </x:row>
    <x:row r="38" ht="26" customHeight="1">
      <x:c r="A38" s="2" t="str">
        <x:v>R037</x:v>
      </x:c>
      <x:c r="B38" s="7" t="d">
        <x:v>2026-09-09T00:00:00.000Z</x:v>
      </x:c>
      <x:c r="C38" s="2" t="str">
        <x:v>Письма</x:v>
      </x:c>
      <x:c r="D38" s="2" t="str">
        <x:v>с нуля</x:v>
      </x:c>
      <x:c r="E38" s="2" t="n">
        <x:v>2</x:v>
      </x:c>
      <x:c r="F38" s="2" t="str">
        <x:v>нет</x:v>
      </x:c>
      <x:c r="G38" s="2" t="str">
        <x:v>Непонятно, какие функции требуют оплаты. Проверял на своём ноутбуке. Задание 037.</x:v>
      </x:c>
      <x:c r="H38" s="2" t="str">
        <x:v>стоимость сервисов</x:v>
      </x:c>
      <x:c r="I38" s="2" t="str">
        <x:v>отрицательная</x:v>
      </x:c>
      <x:c r="J38" s="2" t="str">
        <x:v>Непонятно, какие функции требуют оплаты</x:v>
      </x:c>
      <x:c r="K38" s="2" t="str">
        <x:v>нет</x:v>
      </x:c>
      <x:c r="L38" s="2"/>
      <x:c r="M38" s="2"/>
      <x:c r="N38" s="2"/>
      <x:c r="O38" s="2"/>
    </x:row>
    <x:row r="39" ht="26" customHeight="1">
      <x:c r="A39" s="2" t="str">
        <x:v>R038</x:v>
      </x:c>
      <x:c r="B39" s="7" t="d">
        <x:v>2026-09-10T00:00:00.000Z</x:v>
      </x:c>
      <x:c r="C39" s="2" t="str">
        <x:v>Презентации</x:v>
      </x:c>
      <x:c r="D39" s="2" t="str">
        <x:v>пробовал</x:v>
      </x:c>
      <x:c r="E39" s="2" t="n">
        <x:v>2</x:v>
      </x:c>
      <x:c r="F39" s="2" t="str">
        <x:v>нет</x:v>
      </x:c>
      <x:c r="G39" s="2" t="str">
        <x:v>Не нашёл файл с примером после занятия. Проверял на своём ноутбуке. Задание 038.</x:v>
      </x:c>
      <x:c r="H39" s="2" t="str">
        <x:v>материалы</x:v>
      </x:c>
      <x:c r="I39" s="2" t="str">
        <x:v>отрицательная</x:v>
      </x:c>
      <x:c r="J39" s="2" t="str">
        <x:v>Не нашёл файл с примером после занятия</x:v>
      </x:c>
      <x:c r="K39" s="2" t="str">
        <x:v>нет</x:v>
      </x:c>
      <x:c r="L39" s="2"/>
      <x:c r="M39" s="2"/>
      <x:c r="N39" s="2"/>
      <x:c r="O39" s="2"/>
    </x:row>
    <x:row r="40" ht="26" customHeight="1">
      <x:c r="A40" s="2" t="str">
        <x:v>R039</x:v>
      </x:c>
      <x:c r="B40" s="7" t="d">
        <x:v>2026-09-11T00:00:00.000Z</x:v>
      </x:c>
      <x:c r="C40" s="2" t="str">
        <x:v>Поиск</x:v>
      </x:c>
      <x:c r="D40" s="2" t="str">
        <x:v>использую</x:v>
      </x:c>
      <x:c r="E40" s="2" t="n">
        <x:v>2</x:v>
      </x:c>
      <x:c r="F40" s="2" t="str">
        <x:v>нет</x:v>
      </x:c>
      <x:c r="G40" s="2" t="str">
        <x:v>Не было слышно часть объяснения. Проверял на своём ноутбуке. Задание 039.</x:v>
      </x:c>
      <x:c r="H40" s="2" t="str">
        <x:v>организация</x:v>
      </x:c>
      <x:c r="I40" s="2" t="str">
        <x:v>отрицательная</x:v>
      </x:c>
      <x:c r="J40" s="2" t="str">
        <x:v>Не было слышно часть объяснения</x:v>
      </x:c>
      <x:c r="K40" s="2" t="str">
        <x:v>нет</x:v>
      </x:c>
      <x:c r="L40" s="2"/>
      <x:c r="M40" s="2"/>
      <x:c r="N40" s="2"/>
      <x:c r="O40" s="2"/>
    </x:row>
    <x:row r="41" ht="26" customHeight="1">
      <x:c r="A41" s="2" t="str">
        <x:v>R040</x:v>
      </x:c>
      <x:c r="B41" s="7" t="d">
        <x:v>2026-09-12T00:00:00.000Z</x:v>
      </x:c>
      <x:c r="C41" s="2" t="str">
        <x:v>Таблицы</x:v>
      </x:c>
      <x:c r="D41" s="2" t="str">
        <x:v>с нуля</x:v>
      </x:c>
      <x:c r="E41" s="2" t="n">
        <x:v>3</x:v>
      </x:c>
      <x:c r="F41" s="2" t="str">
        <x:v>нет</x:v>
      </x:c>
      <x:c r="G41" s="2" t="str">
        <x:v>Нормально. Проверял на своём ноутбуке. Задание 040.</x:v>
      </x:c>
      <x:c r="H41" s="2" t="str">
        <x:v>другое</x:v>
      </x:c>
      <x:c r="I41" s="2" t="str">
        <x:v>нейтральная</x:v>
      </x:c>
      <x:c r="J41" s="2" t="str">
        <x:v>Нормально</x:v>
      </x:c>
      <x:c r="K41" s="2" t="str">
        <x:v>да</x:v>
      </x:c>
      <x:c r="L41" s="2"/>
      <x:c r="M41" s="2"/>
      <x:c r="N41" s="2"/>
      <x:c r="O41" s="2"/>
    </x:row>
    <x:row r="42" ht="26" customHeight="1">
      <x:c r="A42" s="2" t="str">
        <x:v>R041</x:v>
      </x:c>
      <x:c r="B42" s="7" t="d">
        <x:v>2026-09-13T00:00:00.000Z</x:v>
      </x:c>
      <x:c r="C42" s="2" t="str">
        <x:v>Письма</x:v>
      </x:c>
      <x:c r="D42" s="2" t="str">
        <x:v>пробовал</x:v>
      </x:c>
      <x:c r="E42" s="2" t="n">
        <x:v>3</x:v>
      </x:c>
      <x:c r="F42" s="2" t="str">
        <x:v>нет</x:v>
      </x:c>
      <x:c r="G42" s="2" t="str">
        <x:v>Термины объяснили понятно, но часть шагов осталась неясной. Проверял на своём ноутбуке. Задание 041.</x:v>
      </x:c>
      <x:c r="H42" s="2" t="str">
        <x:v>понятность</x:v>
      </x:c>
      <x:c r="I42" s="2" t="str">
        <x:v>смешанная</x:v>
      </x:c>
      <x:c r="J42" s="2" t="str">
        <x:v>Термины объяснили понятно, но часть шагов осталась неясной</x:v>
      </x:c>
      <x:c r="K42" s="2" t="str">
        <x:v>да</x:v>
      </x:c>
      <x:c r="L42" s="2"/>
      <x:c r="M42" s="2"/>
      <x:c r="N42" s="2"/>
      <x:c r="O42" s="2"/>
    </x:row>
    <x:row r="43" ht="26" customHeight="1">
      <x:c r="A43" s="2" t="str">
        <x:v>R042</x:v>
      </x:c>
      <x:c r="B43" s="7" t="d">
        <x:v>2026-09-14T00:00:00.000Z</x:v>
      </x:c>
      <x:c r="C43" s="2" t="str">
        <x:v>Презентации</x:v>
      </x:c>
      <x:c r="D43" s="2" t="str">
        <x:v>использую</x:v>
      </x:c>
      <x:c r="E43" s="2" t="n">
        <x:v>3</x:v>
      </x:c>
      <x:c r="F43" s="2" t="str">
        <x:v>нет</x:v>
      </x:c>
      <x:c r="G43" s="2" t="str">
        <x:v>Начало шло спокойно, а конец был слишком быстрым. Проверял на своём ноутбуке. Задание 042.</x:v>
      </x:c>
      <x:c r="H43" s="2" t="str">
        <x:v>темп</x:v>
      </x:c>
      <x:c r="I43" s="2" t="str">
        <x:v>смешанная</x:v>
      </x:c>
      <x:c r="J43" s="2" t="str">
        <x:v>Начало шло спокойно, а конец был слишком быстрым</x:v>
      </x:c>
      <x:c r="K43" s="2" t="str">
        <x:v>да</x:v>
      </x:c>
      <x:c r="L43" s="2"/>
      <x:c r="M43" s="2"/>
      <x:c r="N43" s="2"/>
      <x:c r="O43" s="2"/>
    </x:row>
    <x:row r="44" ht="26" customHeight="1">
      <x:c r="A44" s="2" t="str">
        <x:v>R043</x:v>
      </x:c>
      <x:c r="B44" s="7" t="d">
        <x:v>2026-09-15T00:00:00.000Z</x:v>
      </x:c>
      <x:c r="C44" s="2" t="str">
        <x:v>Поиск</x:v>
      </x:c>
      <x:c r="D44" s="2" t="str">
        <x:v>с нуля</x:v>
      </x:c>
      <x:c r="E44" s="2" t="n">
        <x:v>4</x:v>
      </x:c>
      <x:c r="F44" s="2" t="str">
        <x:v>да</x:v>
      </x:c>
      <x:c r="G44" s="2" t="str">
        <x:v>Примеры полезные, но хочу задание для своей работы. Проверял на своём ноутбуке. Задание 043.</x:v>
      </x:c>
      <x:c r="H44" s="2" t="str">
        <x:v>практика</x:v>
      </x:c>
      <x:c r="I44" s="2" t="str">
        <x:v>смешанная</x:v>
      </x:c>
      <x:c r="J44" s="2" t="str">
        <x:v>Примеры полезные, но хочу задание для своей работы</x:v>
      </x:c>
      <x:c r="K44" s="2" t="str">
        <x:v>да</x:v>
      </x:c>
      <x:c r="L44" s="2"/>
      <x:c r="M44" s="2"/>
      <x:c r="N44" s="2"/>
      <x:c r="O44" s="2"/>
    </x:row>
    <x:row r="45" ht="26" customHeight="1">
      <x:c r="A45" s="2" t="str">
        <x:v>R044</x:v>
      </x:c>
      <x:c r="B45" s="7" t="d">
        <x:v>2026-09-16T00:00:00.000Z</x:v>
      </x:c>
      <x:c r="C45" s="2" t="str">
        <x:v>Таблицы</x:v>
      </x:c>
      <x:c r="D45" s="2" t="str">
        <x:v>пробовал</x:v>
      </x:c>
      <x:c r="E45" s="2" t="n">
        <x:v>4</x:v>
      </x:c>
      <x:c r="F45" s="2" t="str">
        <x:v>да</x:v>
      </x:c>
      <x:c r="G45" s="2" t="str">
        <x:v>Сначала не смог войти, потом помог резервный способ. Проверял на своём ноутбуке. Задание 044.</x:v>
      </x:c>
      <x:c r="H45" s="2" t="str">
        <x:v>доступ к сервисам</x:v>
      </x:c>
      <x:c r="I45" s="2" t="str">
        <x:v>смешанная</x:v>
      </x:c>
      <x:c r="J45" s="2" t="str">
        <x:v>Сначала не смог войти, потом помог резервный способ</x:v>
      </x:c>
      <x:c r="K45" s="2" t="str">
        <x:v>да</x:v>
      </x:c>
      <x:c r="L45" s="2"/>
      <x:c r="M45" s="2"/>
      <x:c r="N45" s="2"/>
      <x:c r="O45" s="2"/>
    </x:row>
    <x:row r="46" ht="26" customHeight="1">
      <x:c r="A46" s="2" t="str">
        <x:v>R045</x:v>
      </x:c>
      <x:c r="B46" s="7" t="d">
        <x:v>2026-09-17T00:00:00.000Z</x:v>
      </x:c>
      <x:c r="C46" s="2" t="str">
        <x:v>Письма</x:v>
      </x:c>
      <x:c r="D46" s="2" t="str">
        <x:v>использую</x:v>
      </x:c>
      <x:c r="E46" s="2" t="n">
        <x:v>3</x:v>
      </x:c>
      <x:c r="F46" s="2" t="str">
        <x:v>нет</x:v>
      </x:c>
      <x:c r="G46" s="2" t="str">
        <x:v>Бесплатного режима хватило для примера, но дальше есть ограничения. Проверял на своём ноутбуке. Задание 045.</x:v>
      </x:c>
      <x:c r="H46" s="2" t="str">
        <x:v>стоимость сервисов</x:v>
      </x:c>
      <x:c r="I46" s="2" t="str">
        <x:v>смешанная</x:v>
      </x:c>
      <x:c r="J46" s="2" t="str">
        <x:v>Бесплатного режима хватило для примера, но дальше есть ограничения</x:v>
      </x:c>
      <x:c r="K46" s="2" t="str">
        <x:v>да</x:v>
      </x:c>
      <x:c r="L46" s="2"/>
      <x:c r="M46" s="2"/>
      <x:c r="N46" s="2"/>
      <x:c r="O46" s="2"/>
    </x:row>
    <x:row r="47" ht="26" customHeight="1">
      <x:c r="A47" s="2" t="str">
        <x:v>R046</x:v>
      </x:c>
      <x:c r="B47" s="7" t="d">
        <x:v>2026-09-18T00:00:00.000Z</x:v>
      </x:c>
      <x:c r="C47" s="2" t="str">
        <x:v>Презентации</x:v>
      </x:c>
      <x:c r="D47" s="2" t="str">
        <x:v>с нуля</x:v>
      </x:c>
      <x:c r="E47" s="2" t="n">
        <x:v>4</x:v>
      </x:c>
      <x:c r="F47" s="2" t="str">
        <x:v>да</x:v>
      </x:c>
      <x:c r="G47" s="2" t="str">
        <x:v>Запись полезная, хотелось бы добавить таймкоды. Проверял на своём ноутбуке. Задание 046.</x:v>
      </x:c>
      <x:c r="H47" s="2" t="str">
        <x:v>материалы</x:v>
      </x:c>
      <x:c r="I47" s="2" t="str">
        <x:v>смешанная</x:v>
      </x:c>
      <x:c r="J47" s="2" t="str">
        <x:v>Запись полезная, хотелось бы добавить таймкоды</x:v>
      </x:c>
      <x:c r="K47" s="2" t="str">
        <x:v>да</x:v>
      </x:c>
      <x:c r="L47" s="2"/>
      <x:c r="M47" s="2"/>
      <x:c r="N47" s="2"/>
      <x:c r="O47" s="2"/>
    </x:row>
    <x:row r="48" ht="26" customHeight="1">
      <x:c r="A48" s="2" t="str">
        <x:v>R047</x:v>
      </x:c>
      <x:c r="B48" s="7" t="d">
        <x:v>2026-09-19T00:00:00.000Z</x:v>
      </x:c>
      <x:c r="C48" s="2" t="str">
        <x:v>Поиск</x:v>
      </x:c>
      <x:c r="D48" s="2" t="str">
        <x:v>пробовал</x:v>
      </x:c>
      <x:c r="E48" s="2" t="n">
        <x:v>3</x:v>
      </x:c>
      <x:c r="F48" s="2" t="str">
        <x:v>нет</x:v>
      </x:c>
      <x:c r="G48" s="2" t="str">
        <x:v>Подключился легко, но вопросы в чате остались без ответа. Проверял на своём ноутбуке. Задание 047.</x:v>
      </x:c>
      <x:c r="H48" s="2" t="str">
        <x:v>организация</x:v>
      </x:c>
      <x:c r="I48" s="2" t="str">
        <x:v>смешанная</x:v>
      </x:c>
      <x:c r="J48" s="2" t="str">
        <x:v>Подключился легко, но вопросы в чате остались без ответа</x:v>
      </x:c>
      <x:c r="K48" s="2" t="str">
        <x:v>да</x:v>
      </x:c>
      <x:c r="L48" s="2"/>
      <x:c r="M48" s="2"/>
      <x:c r="N48" s="2"/>
      <x:c r="O48" s="2"/>
    </x:row>
    <x:row r="49" ht="26" customHeight="1">
      <x:c r="A49" s="2" t="str">
        <x:v>R048</x:v>
      </x:c>
      <x:c r="B49" s="7" t="d">
        <x:v>2026-09-20T00:00:00.000Z</x:v>
      </x:c>
      <x:c r="C49" s="2" t="str">
        <x:v>Таблицы</x:v>
      </x:c>
      <x:c r="D49" s="2" t="str">
        <x:v>использую</x:v>
      </x:c>
      <x:c r="E49" s="2" t="n">
        <x:v>3</x:v>
      </x:c>
      <x:c r="F49" s="2" t="str">
        <x:v>нет</x:v>
      </x:c>
      <x:c r="G49" s="2" t="str">
        <x:v>Пока не решил, где буду это применять. Проверял на своём ноутбуке. Задание 048.</x:v>
      </x:c>
      <x:c r="H49" s="2" t="str">
        <x:v>другое</x:v>
      </x:c>
      <x:c r="I49" s="2" t="str">
        <x:v>нейтральная</x:v>
      </x:c>
      <x:c r="J49" s="2" t="str">
        <x:v>Пока не решил, где буду это применять</x:v>
      </x:c>
      <x:c r="K49" s="2" t="str">
        <x:v>да</x:v>
      </x:c>
      <x:c r="L49" s="2"/>
      <x:c r="M49" s="2"/>
      <x:c r="N49" s="2"/>
      <x:c r="O49" s="2"/>
    </x:row>
    <x:row r="50" ht="26" customHeight="1">
      <x:c r="A50" s="2" t="str">
        <x:v>R049</x:v>
      </x:c>
      <x:c r="B50" s="7" t="d">
        <x:v>2026-09-21T00:00:00.000Z</x:v>
      </x:c>
      <x:c r="C50" s="2" t="str">
        <x:v>Письма</x:v>
      </x:c>
      <x:c r="D50" s="2" t="str">
        <x:v>с нуля</x:v>
      </x:c>
      <x:c r="E50" s="2" t="n">
        <x:v>5</x:v>
      </x:c>
      <x:c r="F50" s="2" t="str">
        <x:v>да</x:v>
      </x:c>
      <x:c r="G50" s="2" t="str">
        <x:v>Объяснение стало понятным после примера. Занимался вечером. Задание 049.</x:v>
      </x:c>
      <x:c r="H50" s="2" t="str">
        <x:v>понятность</x:v>
      </x:c>
      <x:c r="I50" s="2" t="str">
        <x:v>положительная</x:v>
      </x:c>
      <x:c r="J50" s="2" t="str">
        <x:v>Объяснение стало понятным после примера</x:v>
      </x:c>
      <x:c r="K50" s="2" t="str">
        <x:v>нет</x:v>
      </x:c>
      <x:c r="L50" s="2"/>
      <x:c r="M50" s="2"/>
      <x:c r="N50" s="2"/>
      <x:c r="O50" s="2"/>
    </x:row>
    <x:row r="51" ht="26" customHeight="1">
      <x:c r="A51" s="2" t="str">
        <x:v>R050</x:v>
      </x:c>
      <x:c r="B51" s="7" t="d">
        <x:v>2026-09-22T00:00:00.000Z</x:v>
      </x:c>
      <x:c r="C51" s="2" t="str">
        <x:v>Презентации</x:v>
      </x:c>
      <x:c r="D51" s="2" t="str">
        <x:v>пробовал</x:v>
      </x:c>
      <x:c r="E51" s="2" t="n">
        <x:v>5</x:v>
      </x:c>
      <x:c r="F51" s="2" t="str">
        <x:v>да</x:v>
      </x:c>
      <x:c r="G51" s="2" t="str">
        <x:v>Успевал повторять действия на экране. Занимался вечером. Задание 050.</x:v>
      </x:c>
      <x:c r="H51" s="2" t="str">
        <x:v>темп</x:v>
      </x:c>
      <x:c r="I51" s="2" t="str">
        <x:v>положительная</x:v>
      </x:c>
      <x:c r="J51" s="2" t="str">
        <x:v>Успевал повторять действия на экране</x:v>
      </x:c>
      <x:c r="K51" s="2" t="str">
        <x:v>нет</x:v>
      </x:c>
      <x:c r="L51" s="2"/>
      <x:c r="M51" s="2"/>
      <x:c r="N51" s="2"/>
      <x:c r="O51" s="2"/>
    </x:row>
    <x:row r="52" ht="26" customHeight="1">
      <x:c r="A52" s="2" t="str">
        <x:v>R051</x:v>
      </x:c>
      <x:c r="B52" s="7" t="d">
        <x:v>2026-09-23T00:00:00.000Z</x:v>
      </x:c>
      <x:c r="C52" s="2" t="str">
        <x:v>Поиск</x:v>
      </x:c>
      <x:c r="D52" s="2" t="str">
        <x:v>использую</x:v>
      </x:c>
      <x:c r="E52" s="2"/>
      <x:c r="F52" s="2" t="str">
        <x:v>да</x:v>
      </x:c>
      <x:c r="G52" s="2" t="str">
        <x:v>Сам сделал письмо клиенту по образцу. Занимался вечером. Задание 051.</x:v>
      </x:c>
      <x:c r="H52" s="2" t="str">
        <x:v>практика</x:v>
      </x:c>
      <x:c r="I52" s="2" t="str">
        <x:v>положительная</x:v>
      </x:c>
      <x:c r="J52" s="2" t="str">
        <x:v>Сам сделал письмо клиенту по образцу</x:v>
      </x:c>
      <x:c r="K52" s="2" t="str">
        <x:v>нет</x:v>
      </x:c>
      <x:c r="L52" s="2"/>
      <x:c r="M52" s="2"/>
      <x:c r="N52" s="2"/>
      <x:c r="O52" s="2"/>
    </x:row>
    <x:row r="53" ht="26" customHeight="1">
      <x:c r="A53" s="2" t="str">
        <x:v>R052</x:v>
      </x:c>
      <x:c r="B53" s="7" t="d">
        <x:v>2026-09-24T00:00:00.000Z</x:v>
      </x:c>
      <x:c r="C53" s="2" t="str">
        <x:v>Таблицы</x:v>
      </x:c>
      <x:c r="D53" s="2" t="str">
        <x:v>с нуля</x:v>
      </x:c>
      <x:c r="E53" s="2" t="n">
        <x:v>5</x:v>
      </x:c>
      <x:c r="F53" s="2" t="str">
        <x:v>да</x:v>
      </x:c>
      <x:c r="G53" s="2" t="str">
        <x:v>Получилось войти в сервис и выполнить задание. Занимался вечером. Задание 052.</x:v>
      </x:c>
      <x:c r="H53" s="2" t="str">
        <x:v>доступ к сервисам</x:v>
      </x:c>
      <x:c r="I53" s="2" t="str">
        <x:v>положительная</x:v>
      </x:c>
      <x:c r="J53" s="2" t="str">
        <x:v>Получилось войти в сервис и выполнить задание</x:v>
      </x:c>
      <x:c r="K53" s="2" t="str">
        <x:v>нет</x:v>
      </x:c>
      <x:c r="L53" s="2"/>
      <x:c r="M53" s="2"/>
      <x:c r="N53" s="2"/>
      <x:c r="O53" s="2"/>
    </x:row>
    <x:row r="54" ht="26" customHeight="1">
      <x:c r="A54" s="2" t="str">
        <x:v>R053</x:v>
      </x:c>
      <x:c r="B54" s="7" t="d">
        <x:v>2026-09-25T00:00:00.000Z</x:v>
      </x:c>
      <x:c r="C54" s="2" t="str">
        <x:v>Письма</x:v>
      </x:c>
      <x:c r="D54" s="2" t="str">
        <x:v>пробовал</x:v>
      </x:c>
      <x:c r="E54" s="2" t="n">
        <x:v>5</x:v>
      </x:c>
      <x:c r="F54" s="2" t="str">
        <x:v>да</x:v>
      </x:c>
      <x:c r="G54" s="2" t="str">
        <x:v>Нашёл подходящий бесплатный инструмент. Занимался вечером. Задание 053.</x:v>
      </x:c>
      <x:c r="H54" s="2" t="str">
        <x:v>стоимость сервисов</x:v>
      </x:c>
      <x:c r="I54" s="2" t="str">
        <x:v>положительная</x:v>
      </x:c>
      <x:c r="J54" s="2" t="str">
        <x:v>Нашёл подходящий бесплатный инструмент</x:v>
      </x:c>
      <x:c r="K54" s="2" t="str">
        <x:v>нет</x:v>
      </x:c>
      <x:c r="L54" s="2"/>
      <x:c r="M54" s="2"/>
      <x:c r="N54" s="2"/>
      <x:c r="O54" s="2"/>
    </x:row>
    <x:row r="55" ht="26" customHeight="1">
      <x:c r="A55" s="2" t="str">
        <x:v>R054</x:v>
      </x:c>
      <x:c r="B55" s="7" t="d">
        <x:v>2026-09-26T00:00:00.000Z</x:v>
      </x:c>
      <x:c r="C55" s="2" t="str">
        <x:v>Презентации</x:v>
      </x:c>
      <x:c r="D55" s="2" t="str">
        <x:v>использую</x:v>
      </x:c>
      <x:c r="E55" s="2" t="n">
        <x:v>5</x:v>
      </x:c>
      <x:c r="F55" s="2" t="str">
        <x:v>да</x:v>
      </x:c>
      <x:c r="G55" s="2" t="str">
        <x:v>Сохранил памятку и повторил по ней шаги. Занимался вечером. Задание 054.</x:v>
      </x:c>
      <x:c r="H55" s="2" t="str">
        <x:v>материалы</x:v>
      </x:c>
      <x:c r="I55" s="2" t="str">
        <x:v>положительная</x:v>
      </x:c>
      <x:c r="J55" s="2" t="str">
        <x:v>Сохранил памятку и повторил по ней шаги</x:v>
      </x:c>
      <x:c r="K55" s="2" t="str">
        <x:v>нет</x:v>
      </x:c>
      <x:c r="L55" s="2"/>
      <x:c r="M55" s="2"/>
      <x:c r="N55" s="2"/>
      <x:c r="O55" s="2"/>
    </x:row>
    <x:row r="56" ht="26" customHeight="1">
      <x:c r="A56" s="2" t="str">
        <x:v>R055</x:v>
      </x:c>
      <x:c r="B56" s="7" t="d">
        <x:v>2026-09-27T00:00:00.000Z</x:v>
      </x:c>
      <x:c r="C56" s="2" t="str">
        <x:v>Поиск</x:v>
      </x:c>
      <x:c r="D56" s="2" t="str">
        <x:v>с нуля</x:v>
      </x:c>
      <x:c r="E56" s="2" t="n">
        <x:v>5</x:v>
      </x:c>
      <x:c r="F56" s="2" t="str">
        <x:v>да</x:v>
      </x:c>
      <x:c r="G56" s="2" t="str">
        <x:v>Ссылка пришла вовремя, звук был хороший. Занимался вечером. Задание 055.</x:v>
      </x:c>
      <x:c r="H56" s="2" t="str">
        <x:v>организация</x:v>
      </x:c>
      <x:c r="I56" s="2" t="str">
        <x:v>положительная</x:v>
      </x:c>
      <x:c r="J56" s="2" t="str">
        <x:v>Ссылка пришла вовремя, звук был хороший</x:v>
      </x:c>
      <x:c r="K56" s="2" t="str">
        <x:v>нет</x:v>
      </x:c>
      <x:c r="L56" s="2"/>
      <x:c r="M56" s="2"/>
      <x:c r="N56" s="2"/>
      <x:c r="O56" s="2"/>
    </x:row>
    <x:row r="57" ht="26" customHeight="1">
      <x:c r="A57" s="2" t="str">
        <x:v>R056</x:v>
      </x:c>
      <x:c r="B57" s="7" t="d">
        <x:v>2026-09-28T00:00:00.000Z</x:v>
      </x:c>
      <x:c r="C57" s="2" t="str">
        <x:v>Таблицы</x:v>
      </x:c>
      <x:c r="D57" s="2" t="str">
        <x:v>пробовал</x:v>
      </x:c>
      <x:c r="E57" s="2" t="n">
        <x:v>5</x:v>
      </x:c>
      <x:c r="F57" s="2" t="str">
        <x:v>да</x:v>
      </x:c>
      <x:c r="G57" s="2" t="str">
        <x:v>Спасибо за занятие. Занимался вечером. Задание 056.</x:v>
      </x:c>
      <x:c r="H57" s="2" t="str">
        <x:v>другое</x:v>
      </x:c>
      <x:c r="I57" s="2" t="str">
        <x:v>положительная</x:v>
      </x:c>
      <x:c r="J57" s="2" t="str">
        <x:v>Спасибо за занятие</x:v>
      </x:c>
      <x:c r="K57" s="2" t="str">
        <x:v>нет</x:v>
      </x:c>
      <x:c r="L57" s="2"/>
      <x:c r="M57" s="2"/>
      <x:c r="N57" s="2"/>
      <x:c r="O57" s="2"/>
    </x:row>
    <x:row r="58" ht="26" customHeight="1">
      <x:c r="A58" s="2" t="str">
        <x:v>R057</x:v>
      </x:c>
      <x:c r="B58" s="7" t="d">
        <x:v>2026-09-01T00:00:00.000Z</x:v>
      </x:c>
      <x:c r="C58" s="2" t="str">
        <x:v>Письма</x:v>
      </x:c>
      <x:c r="D58" s="2" t="str">
        <x:v>использую</x:v>
      </x:c>
      <x:c r="E58" s="2" t="n">
        <x:v>2</x:v>
      </x:c>
      <x:c r="F58" s="2" t="str">
        <x:v>нет</x:v>
      </x:c>
      <x:c r="G58" s="2" t="str">
        <x:v>Не понял разницу между задачей и запросом. Занимался вечером. Задание 057.</x:v>
      </x:c>
      <x:c r="H58" s="2" t="str">
        <x:v>понятность</x:v>
      </x:c>
      <x:c r="I58" s="2" t="str">
        <x:v>отрицательная</x:v>
      </x:c>
      <x:c r="J58" s="2" t="str">
        <x:v>Не понял разницу между задачей и запросом</x:v>
      </x:c>
      <x:c r="K58" s="2" t="str">
        <x:v>нет</x:v>
      </x:c>
      <x:c r="L58" s="2"/>
      <x:c r="M58" s="2"/>
      <x:c r="N58" s="2"/>
      <x:c r="O58" s="2"/>
    </x:row>
    <x:row r="59" ht="26" customHeight="1">
      <x:c r="A59" s="2" t="str">
        <x:v>R058</x:v>
      </x:c>
      <x:c r="B59" s="7" t="d">
        <x:v>2026-09-02T00:00:00.000Z</x:v>
      </x:c>
      <x:c r="C59" s="2" t="str">
        <x:v>Презентации</x:v>
      </x:c>
      <x:c r="D59" s="2" t="str">
        <x:v>с нуля</x:v>
      </x:c>
      <x:c r="E59" s="2" t="n">
        <x:v>2</x:v>
      </x:c>
      <x:c r="F59" s="2" t="str">
        <x:v>нет</x:v>
      </x:c>
      <x:c r="G59" s="2" t="str">
        <x:v>Слишком быстро переключались между окнами. Занимался вечером. Задание 058.</x:v>
      </x:c>
      <x:c r="H59" s="2" t="str">
        <x:v>темп</x:v>
      </x:c>
      <x:c r="I59" s="2" t="str">
        <x:v>отрицательная</x:v>
      </x:c>
      <x:c r="J59" s="2" t="str">
        <x:v>Слишком быстро переключались между окнами</x:v>
      </x:c>
      <x:c r="K59" s="2" t="str">
        <x:v>нет</x:v>
      </x:c>
      <x:c r="L59" s="2"/>
      <x:c r="M59" s="2"/>
      <x:c r="N59" s="2"/>
      <x:c r="O59" s="2"/>
    </x:row>
    <x:row r="60" ht="26" customHeight="1">
      <x:c r="A60" s="2" t="str">
        <x:v>R059</x:v>
      </x:c>
      <x:c r="B60" s="7" t="d">
        <x:v>2026-09-03T00:00:00.000Z</x:v>
      </x:c>
      <x:c r="C60" s="2" t="str">
        <x:v>Поиск</x:v>
      </x:c>
      <x:c r="D60" s="2" t="str">
        <x:v>пробовал</x:v>
      </x:c>
      <x:c r="E60" s="2" t="n">
        <x:v>2</x:v>
      </x:c>
      <x:c r="F60" s="2" t="str">
        <x:v>нет</x:v>
      </x:c>
      <x:c r="G60" s="2" t="str">
        <x:v>Не хватило самостоятельной практики. Занимался вечером. Задание 059.</x:v>
      </x:c>
      <x:c r="H60" s="2" t="str">
        <x:v>практика</x:v>
      </x:c>
      <x:c r="I60" s="2" t="str">
        <x:v>отрицательная</x:v>
      </x:c>
      <x:c r="J60" s="2" t="str">
        <x:v>Не хватило самостоятельной практики</x:v>
      </x:c>
      <x:c r="K60" s="2" t="str">
        <x:v>нет</x:v>
      </x:c>
      <x:c r="L60" s="2"/>
      <x:c r="M60" s="2"/>
      <x:c r="N60" s="2"/>
      <x:c r="O60" s="2"/>
    </x:row>
    <x:row r="61" ht="26" customHeight="1">
      <x:c r="A61" s="2" t="str">
        <x:v>R060</x:v>
      </x:c>
      <x:c r="B61" s="7" t="d">
        <x:v>2026-09-04T00:00:00.000Z</x:v>
      </x:c>
      <x:c r="C61" s="2" t="str">
        <x:v>Таблицы</x:v>
      </x:c>
      <x:c r="D61" s="2" t="str">
        <x:v>использую</x:v>
      </x:c>
      <x:c r="E61" s="2" t="n">
        <x:v>2</x:v>
      </x:c>
      <x:c r="F61" s="2" t="str">
        <x:v>нет</x:v>
      </x:c>
      <x:c r="G61" s="2" t="str">
        <x:v>Не удалось зарегистрироваться в сервисе. Занимался вечером. Задание 060.</x:v>
      </x:c>
      <x:c r="H61" s="2" t="str">
        <x:v>доступ к сервисам</x:v>
      </x:c>
      <x:c r="I61" s="2" t="str">
        <x:v>отрицательная</x:v>
      </x:c>
      <x:c r="J61" s="2" t="str">
        <x:v>Не удалось зарегистрироваться в сервисе</x:v>
      </x:c>
      <x:c r="K61" s="2" t="str">
        <x:v>нет</x:v>
      </x:c>
      <x:c r="L61" s="2"/>
      <x:c r="M61" s="2"/>
      <x:c r="N61" s="2"/>
      <x:c r="O61" s="2"/>
    </x:row>
    <x:row r="62" ht="26" customHeight="1">
      <x:c r="A62" s="2" t="str">
        <x:v>R061</x:v>
      </x:c>
      <x:c r="B62" s="7" t="d">
        <x:v>2026-09-05T00:00:00.000Z</x:v>
      </x:c>
      <x:c r="C62" s="2" t="str">
        <x:v>Письма</x:v>
      </x:c>
      <x:c r="D62" s="2" t="str">
        <x:v>с нуля</x:v>
      </x:c>
      <x:c r="E62" s="2" t="n">
        <x:v>2</x:v>
      </x:c>
      <x:c r="F62" s="2" t="str">
        <x:v>нет</x:v>
      </x:c>
      <x:c r="G62" s="2" t="str">
        <x:v>Непонятно, какие функции требуют оплаты. Занимался вечером. Задание 061.</x:v>
      </x:c>
      <x:c r="H62" s="2" t="str">
        <x:v>стоимость сервисов</x:v>
      </x:c>
      <x:c r="I62" s="2" t="str">
        <x:v>отрицательная</x:v>
      </x:c>
      <x:c r="J62" s="2" t="str">
        <x:v>Непонятно, какие функции требуют оплаты</x:v>
      </x:c>
      <x:c r="K62" s="2" t="str">
        <x:v>нет</x:v>
      </x:c>
      <x:c r="L62" s="2"/>
      <x:c r="M62" s="2"/>
      <x:c r="N62" s="2"/>
      <x:c r="O62" s="2"/>
    </x:row>
    <x:row r="63" ht="26" customHeight="1">
      <x:c r="A63" s="2" t="str">
        <x:v>R062</x:v>
      </x:c>
      <x:c r="B63" s="7" t="d">
        <x:v>2026-09-06T00:00:00.000Z</x:v>
      </x:c>
      <x:c r="C63" s="2" t="str">
        <x:v>Презентации</x:v>
      </x:c>
      <x:c r="D63" s="2" t="str">
        <x:v>пробовал</x:v>
      </x:c>
      <x:c r="E63" s="2" t="n">
        <x:v>2</x:v>
      </x:c>
      <x:c r="F63" s="2" t="str">
        <x:v>нет</x:v>
      </x:c>
      <x:c r="G63" s="2" t="str">
        <x:v>Не нашёл файл с примером после занятия. Занимался вечером. Задание 062.</x:v>
      </x:c>
      <x:c r="H63" s="2" t="str">
        <x:v>материалы</x:v>
      </x:c>
      <x:c r="I63" s="2" t="str">
        <x:v>отрицательная</x:v>
      </x:c>
      <x:c r="J63" s="2" t="str">
        <x:v>Не нашёл файл с примером после занятия</x:v>
      </x:c>
      <x:c r="K63" s="2" t="str">
        <x:v>нет</x:v>
      </x:c>
      <x:c r="L63" s="2"/>
      <x:c r="M63" s="2"/>
      <x:c r="N63" s="2"/>
      <x:c r="O63" s="2"/>
    </x:row>
    <x:row r="64" ht="26" customHeight="1">
      <x:c r="A64" s="2" t="str">
        <x:v>R063</x:v>
      </x:c>
      <x:c r="B64" s="7" t="d">
        <x:v>2026-09-07T00:00:00.000Z</x:v>
      </x:c>
      <x:c r="C64" s="2" t="str">
        <x:v>Поиск</x:v>
      </x:c>
      <x:c r="D64" s="2" t="str">
        <x:v>использую</x:v>
      </x:c>
      <x:c r="E64" s="2" t="n">
        <x:v>2</x:v>
      </x:c>
      <x:c r="F64" s="2" t="str">
        <x:v>нет</x:v>
      </x:c>
      <x:c r="G64" s="2" t="str">
        <x:v>Не было слышно часть объяснения. Занимался вечером. Задание 063.</x:v>
      </x:c>
      <x:c r="H64" s="2" t="str">
        <x:v>организация</x:v>
      </x:c>
      <x:c r="I64" s="2" t="str">
        <x:v>отрицательная</x:v>
      </x:c>
      <x:c r="J64" s="2" t="str">
        <x:v>Не было слышно часть объяснения</x:v>
      </x:c>
      <x:c r="K64" s="2" t="str">
        <x:v>нет</x:v>
      </x:c>
      <x:c r="L64" s="2"/>
      <x:c r="M64" s="2"/>
      <x:c r="N64" s="2"/>
      <x:c r="O64" s="2"/>
    </x:row>
    <x:row r="65" ht="26" customHeight="1">
      <x:c r="A65" s="2" t="str">
        <x:v>R064</x:v>
      </x:c>
      <x:c r="B65" s="7" t="d">
        <x:v>2026-09-08T00:00:00.000Z</x:v>
      </x:c>
      <x:c r="C65" s="2" t="str">
        <x:v>Таблицы</x:v>
      </x:c>
      <x:c r="D65" s="2" t="str">
        <x:v>с нуля</x:v>
      </x:c>
      <x:c r="E65" s="2" t="n">
        <x:v>3</x:v>
      </x:c>
      <x:c r="F65" s="2" t="str">
        <x:v>нет</x:v>
      </x:c>
      <x:c r="G65" s="2" t="str">
        <x:v>Нормально. Занимался вечером. Задание 064.</x:v>
      </x:c>
      <x:c r="H65" s="2" t="str">
        <x:v>другое</x:v>
      </x:c>
      <x:c r="I65" s="2" t="str">
        <x:v>нейтральная</x:v>
      </x:c>
      <x:c r="J65" s="2" t="str">
        <x:v>Нормально</x:v>
      </x:c>
      <x:c r="K65" s="2" t="str">
        <x:v>да</x:v>
      </x:c>
      <x:c r="L65" s="2"/>
      <x:c r="M65" s="2"/>
      <x:c r="N65" s="2"/>
      <x:c r="O65" s="2"/>
    </x:row>
    <x:row r="66" ht="26" customHeight="1">
      <x:c r="A66" s="2" t="str">
        <x:v>R065</x:v>
      </x:c>
      <x:c r="B66" s="7" t="d">
        <x:v>2026-09-09T00:00:00.000Z</x:v>
      </x:c>
      <x:c r="C66" s="2" t="str">
        <x:v>Письма</x:v>
      </x:c>
      <x:c r="D66" s="2" t="str">
        <x:v>пробовал</x:v>
      </x:c>
      <x:c r="E66" s="2" t="n">
        <x:v>3</x:v>
      </x:c>
      <x:c r="F66" s="2" t="str">
        <x:v>нет</x:v>
      </x:c>
      <x:c r="G66" s="2" t="str">
        <x:v>Термины объяснили понятно, но часть шагов осталась неясной. Занимался вечером. Задание 065.</x:v>
      </x:c>
      <x:c r="H66" s="2" t="str">
        <x:v>понятность</x:v>
      </x:c>
      <x:c r="I66" s="2" t="str">
        <x:v>смешанная</x:v>
      </x:c>
      <x:c r="J66" s="2" t="str">
        <x:v>Термины объяснили понятно, но часть шагов осталась неясной</x:v>
      </x:c>
      <x:c r="K66" s="2" t="str">
        <x:v>да</x:v>
      </x:c>
      <x:c r="L66" s="2"/>
      <x:c r="M66" s="2"/>
      <x:c r="N66" s="2"/>
      <x:c r="O66" s="2"/>
    </x:row>
    <x:row r="67" ht="26" customHeight="1">
      <x:c r="A67" s="2" t="str">
        <x:v>R066</x:v>
      </x:c>
      <x:c r="B67" s="7" t="d">
        <x:v>2026-09-10T00:00:00.000Z</x:v>
      </x:c>
      <x:c r="C67" s="2" t="str">
        <x:v>Презентации</x:v>
      </x:c>
      <x:c r="D67" s="2" t="str">
        <x:v>использую</x:v>
      </x:c>
      <x:c r="E67" s="2" t="n">
        <x:v>3</x:v>
      </x:c>
      <x:c r="F67" s="2" t="str">
        <x:v>нет</x:v>
      </x:c>
      <x:c r="G67" s="2" t="str">
        <x:v>Начало шло спокойно, а конец был слишком быстрым. Занимался вечером. Задание 066.</x:v>
      </x:c>
      <x:c r="H67" s="2" t="str">
        <x:v>темп</x:v>
      </x:c>
      <x:c r="I67" s="2" t="str">
        <x:v>смешанная</x:v>
      </x:c>
      <x:c r="J67" s="2" t="str">
        <x:v>Начало шло спокойно, а конец был слишком быстрым</x:v>
      </x:c>
      <x:c r="K67" s="2" t="str">
        <x:v>да</x:v>
      </x:c>
      <x:c r="L67" s="2"/>
      <x:c r="M67" s="2"/>
      <x:c r="N67" s="2"/>
      <x:c r="O67" s="2"/>
    </x:row>
    <x:row r="68" ht="26" customHeight="1">
      <x:c r="A68" s="2" t="str">
        <x:v>R067</x:v>
      </x:c>
      <x:c r="B68" s="7" t="d">
        <x:v>2026-09-11T00:00:00.000Z</x:v>
      </x:c>
      <x:c r="C68" s="2" t="str">
        <x:v>Поиск</x:v>
      </x:c>
      <x:c r="D68" s="2" t="str">
        <x:v>с нуля</x:v>
      </x:c>
      <x:c r="E68" s="2" t="n">
        <x:v>4</x:v>
      </x:c>
      <x:c r="F68" s="2" t="str">
        <x:v>да</x:v>
      </x:c>
      <x:c r="G68" s="2" t="str">
        <x:v>Примеры полезные, но хочу задание для своей работы. Занимался вечером. Задание 067.</x:v>
      </x:c>
      <x:c r="H68" s="2" t="str">
        <x:v>практика</x:v>
      </x:c>
      <x:c r="I68" s="2" t="str">
        <x:v>смешанная</x:v>
      </x:c>
      <x:c r="J68" s="2" t="str">
        <x:v>Примеры полезные, но хочу задание для своей работы</x:v>
      </x:c>
      <x:c r="K68" s="2" t="str">
        <x:v>да</x:v>
      </x:c>
      <x:c r="L68" s="2"/>
      <x:c r="M68" s="2"/>
      <x:c r="N68" s="2"/>
      <x:c r="O68" s="2"/>
    </x:row>
    <x:row r="69" ht="26" customHeight="1">
      <x:c r="A69" s="2" t="str">
        <x:v>R068</x:v>
      </x:c>
      <x:c r="B69" s="7" t="d">
        <x:v>2026-09-12T00:00:00.000Z</x:v>
      </x:c>
      <x:c r="C69" s="2" t="str">
        <x:v>Таблицы</x:v>
      </x:c>
      <x:c r="D69" s="2" t="str">
        <x:v>пробовал</x:v>
      </x:c>
      <x:c r="E69" s="2" t="n">
        <x:v>4</x:v>
      </x:c>
      <x:c r="F69" s="2" t="str">
        <x:v>да</x:v>
      </x:c>
      <x:c r="G69" s="2" t="str">
        <x:v>Сначала не смог войти, потом помог резервный способ. Занимался вечером. Задание 068.</x:v>
      </x:c>
      <x:c r="H69" s="2" t="str">
        <x:v>доступ к сервисам</x:v>
      </x:c>
      <x:c r="I69" s="2" t="str">
        <x:v>смешанная</x:v>
      </x:c>
      <x:c r="J69" s="2" t="str">
        <x:v>Сначала не смог войти, потом помог резервный способ</x:v>
      </x:c>
      <x:c r="K69" s="2" t="str">
        <x:v>да</x:v>
      </x:c>
      <x:c r="L69" s="2"/>
      <x:c r="M69" s="2"/>
      <x:c r="N69" s="2"/>
      <x:c r="O69" s="2"/>
    </x:row>
    <x:row r="70" ht="26" customHeight="1">
      <x:c r="A70" s="2" t="str">
        <x:v>R069</x:v>
      </x:c>
      <x:c r="B70" s="7" t="d">
        <x:v>2026-09-13T00:00:00.000Z</x:v>
      </x:c>
      <x:c r="C70" s="2" t="str">
        <x:v>Письма</x:v>
      </x:c>
      <x:c r="D70" s="2" t="str">
        <x:v>использую</x:v>
      </x:c>
      <x:c r="E70" s="2" t="n">
        <x:v>3</x:v>
      </x:c>
      <x:c r="F70" s="2" t="str">
        <x:v>нет</x:v>
      </x:c>
      <x:c r="G70" s="2" t="str">
        <x:v>Бесплатного режима хватило для примера, но дальше есть ограничения. Занимался вечером. Задание 069.</x:v>
      </x:c>
      <x:c r="H70" s="2" t="str">
        <x:v>стоимость сервисов</x:v>
      </x:c>
      <x:c r="I70" s="2" t="str">
        <x:v>смешанная</x:v>
      </x:c>
      <x:c r="J70" s="2" t="str">
        <x:v>Бесплатного режима хватило для примера, но дальше есть ограничения</x:v>
      </x:c>
      <x:c r="K70" s="2" t="str">
        <x:v>да</x:v>
      </x:c>
      <x:c r="L70" s="2"/>
      <x:c r="M70" s="2"/>
      <x:c r="N70" s="2"/>
      <x:c r="O70" s="2"/>
    </x:row>
    <x:row r="71" ht="26" customHeight="1">
      <x:c r="A71" s="2" t="str">
        <x:v>R070</x:v>
      </x:c>
      <x:c r="B71" s="7" t="d">
        <x:v>2026-09-14T00:00:00.000Z</x:v>
      </x:c>
      <x:c r="C71" s="2" t="str">
        <x:v>Презентации</x:v>
      </x:c>
      <x:c r="D71" s="2" t="str">
        <x:v>с нуля</x:v>
      </x:c>
      <x:c r="E71" s="2" t="n">
        <x:v>4</x:v>
      </x:c>
      <x:c r="F71" s="2" t="str">
        <x:v>да</x:v>
      </x:c>
      <x:c r="G71" s="2" t="str">
        <x:v>Запись полезная, хотелось бы добавить таймкоды. Занимался вечером. Задание 070.</x:v>
      </x:c>
      <x:c r="H71" s="2" t="str">
        <x:v>материалы</x:v>
      </x:c>
      <x:c r="I71" s="2" t="str">
        <x:v>смешанная</x:v>
      </x:c>
      <x:c r="J71" s="2" t="str">
        <x:v>Запись полезная, хотелось бы добавить таймкоды</x:v>
      </x:c>
      <x:c r="K71" s="2" t="str">
        <x:v>да</x:v>
      </x:c>
      <x:c r="L71" s="2"/>
      <x:c r="M71" s="2"/>
      <x:c r="N71" s="2"/>
      <x:c r="O71" s="2"/>
    </x:row>
    <x:row r="72" ht="26" customHeight="1">
      <x:c r="A72" s="2" t="str">
        <x:v>R071</x:v>
      </x:c>
      <x:c r="B72" s="7" t="d">
        <x:v>2026-09-15T00:00:00.000Z</x:v>
      </x:c>
      <x:c r="C72" s="2" t="str">
        <x:v>Поиск</x:v>
      </x:c>
      <x:c r="D72" s="2" t="str">
        <x:v>пробовал</x:v>
      </x:c>
      <x:c r="E72" s="2" t="n">
        <x:v>3</x:v>
      </x:c>
      <x:c r="F72" s="2" t="str">
        <x:v>нет</x:v>
      </x:c>
      <x:c r="G72" s="2" t="str">
        <x:v>Подключился легко, но вопросы в чате остались без ответа. Занимался вечером. Задание 071.</x:v>
      </x:c>
      <x:c r="H72" s="2" t="str">
        <x:v>организация</x:v>
      </x:c>
      <x:c r="I72" s="2" t="str">
        <x:v>смешанная</x:v>
      </x:c>
      <x:c r="J72" s="2" t="str">
        <x:v>Подключился легко, но вопросы в чате остались без ответа</x:v>
      </x:c>
      <x:c r="K72" s="2" t="str">
        <x:v>да</x:v>
      </x:c>
      <x:c r="L72" s="2"/>
      <x:c r="M72" s="2"/>
      <x:c r="N72" s="2"/>
      <x:c r="O72" s="2"/>
    </x:row>
    <x:row r="73" ht="26" customHeight="1">
      <x:c r="A73" s="2" t="str">
        <x:v>R072</x:v>
      </x:c>
      <x:c r="B73" s="7" t="d">
        <x:v>2026-09-16T00:00:00.000Z</x:v>
      </x:c>
      <x:c r="C73" s="2" t="str">
        <x:v>Таблицы</x:v>
      </x:c>
      <x:c r="D73" s="2" t="str">
        <x:v>использую</x:v>
      </x:c>
      <x:c r="E73" s="2" t="n">
        <x:v>3</x:v>
      </x:c>
      <x:c r="F73" s="2" t="str">
        <x:v>нет</x:v>
      </x:c>
      <x:c r="G73" s="2" t="str">
        <x:v>Пока не решил, где буду это применять. Занимался вечером. Задание 072.</x:v>
      </x:c>
      <x:c r="H73" s="2" t="str">
        <x:v>другое</x:v>
      </x:c>
      <x:c r="I73" s="2" t="str">
        <x:v>нейтральная</x:v>
      </x:c>
      <x:c r="J73" s="2" t="str">
        <x:v>Пока не решил, где буду это применять</x:v>
      </x:c>
      <x:c r="K73" s="2" t="str">
        <x:v>да</x:v>
      </x:c>
      <x:c r="L73" s="2"/>
      <x:c r="M73" s="2"/>
      <x:c r="N73" s="2"/>
      <x:c r="O73" s="2"/>
    </x:row>
    <x:row r="74" ht="26" customHeight="1">
      <x:c r="A74" s="2" t="str">
        <x:v>R073</x:v>
      </x:c>
      <x:c r="B74" s="7" t="d">
        <x:v>2026-09-17T00:00:00.000Z</x:v>
      </x:c>
      <x:c r="C74" s="2" t="str">
        <x:v>Письма</x:v>
      </x:c>
      <x:c r="D74" s="2" t="str">
        <x:v>с нуля</x:v>
      </x:c>
      <x:c r="E74" s="2" t="n">
        <x:v>5</x:v>
      </x:c>
      <x:c r="F74" s="2" t="str">
        <x:v>да</x:v>
      </x:c>
      <x:c r="G74" s="2" t="str">
        <x:v>Объяснение стало понятным после примера. Пробовал повторить на следующий день. Задание 073.</x:v>
      </x:c>
      <x:c r="H74" s="2" t="str">
        <x:v>понятность</x:v>
      </x:c>
      <x:c r="I74" s="2" t="str">
        <x:v>положительная</x:v>
      </x:c>
      <x:c r="J74" s="2" t="str">
        <x:v>Объяснение стало понятным после примера</x:v>
      </x:c>
      <x:c r="K74" s="2" t="str">
        <x:v>нет</x:v>
      </x:c>
      <x:c r="L74" s="2"/>
      <x:c r="M74" s="2"/>
      <x:c r="N74" s="2"/>
      <x:c r="O74" s="2"/>
    </x:row>
    <x:row r="75" ht="26" customHeight="1">
      <x:c r="A75" s="2" t="str">
        <x:v>R074</x:v>
      </x:c>
      <x:c r="B75" s="7" t="d">
        <x:v>2026-09-18T00:00:00.000Z</x:v>
      </x:c>
      <x:c r="C75" s="2" t="str">
        <x:v>Презентации</x:v>
      </x:c>
      <x:c r="D75" s="2" t="str">
        <x:v>пробовал</x:v>
      </x:c>
      <x:c r="E75" s="2" t="n">
        <x:v>5</x:v>
      </x:c>
      <x:c r="F75" s="2" t="str">
        <x:v>да</x:v>
      </x:c>
      <x:c r="G75" s="2" t="str">
        <x:v>Успевал повторять действия на экране. Пробовал повторить на следующий день. Задание 074.</x:v>
      </x:c>
      <x:c r="H75" s="2" t="str">
        <x:v>темп</x:v>
      </x:c>
      <x:c r="I75" s="2" t="str">
        <x:v>положительная</x:v>
      </x:c>
      <x:c r="J75" s="2" t="str">
        <x:v>Успевал повторять действия на экране</x:v>
      </x:c>
      <x:c r="K75" s="2" t="str">
        <x:v>нет</x:v>
      </x:c>
      <x:c r="L75" s="2"/>
      <x:c r="M75" s="2"/>
      <x:c r="N75" s="2"/>
      <x:c r="O75" s="2"/>
    </x:row>
    <x:row r="76" ht="26" customHeight="1">
      <x:c r="A76" s="2" t="str">
        <x:v>R075</x:v>
      </x:c>
      <x:c r="B76" s="7" t="d">
        <x:v>2026-09-19T00:00:00.000Z</x:v>
      </x:c>
      <x:c r="C76" s="2" t="str">
        <x:v>Поиск</x:v>
      </x:c>
      <x:c r="D76" s="2" t="str">
        <x:v>использую</x:v>
      </x:c>
      <x:c r="E76" s="2" t="n">
        <x:v>5</x:v>
      </x:c>
      <x:c r="F76" s="2" t="str">
        <x:v>да</x:v>
      </x:c>
      <x:c r="G76" s="2" t="str">
        <x:v>Сам сделал письмо клиенту по образцу. Пробовал повторить на следующий день. Задание 075.</x:v>
      </x:c>
      <x:c r="H76" s="2" t="str">
        <x:v>практика</x:v>
      </x:c>
      <x:c r="I76" s="2" t="str">
        <x:v>положительная</x:v>
      </x:c>
      <x:c r="J76" s="2" t="str">
        <x:v>Сам сделал письмо клиенту по образцу</x:v>
      </x:c>
      <x:c r="K76" s="2" t="str">
        <x:v>нет</x:v>
      </x:c>
      <x:c r="L76" s="2"/>
      <x:c r="M76" s="2"/>
      <x:c r="N76" s="2"/>
      <x:c r="O76" s="2"/>
    </x:row>
    <x:row r="77" ht="26" customHeight="1">
      <x:c r="A77" s="2" t="str">
        <x:v>R076</x:v>
      </x:c>
      <x:c r="B77" s="7" t="d">
        <x:v>2026-09-20T00:00:00.000Z</x:v>
      </x:c>
      <x:c r="C77" s="2" t="str">
        <x:v>Таблицы</x:v>
      </x:c>
      <x:c r="D77" s="2" t="str">
        <x:v>с нуля</x:v>
      </x:c>
      <x:c r="E77" s="2" t="n">
        <x:v>5</x:v>
      </x:c>
      <x:c r="F77" s="2" t="str">
        <x:v>да</x:v>
      </x:c>
      <x:c r="G77" s="2" t="str">
        <x:v>Получилось войти в сервис и выполнить задание. Пробовал повторить на следующий день. Задание 076.</x:v>
      </x:c>
      <x:c r="H77" s="2" t="str">
        <x:v>доступ к сервисам</x:v>
      </x:c>
      <x:c r="I77" s="2" t="str">
        <x:v>положительная</x:v>
      </x:c>
      <x:c r="J77" s="2" t="str">
        <x:v>Получилось войти в сервис и выполнить задание</x:v>
      </x:c>
      <x:c r="K77" s="2" t="str">
        <x:v>нет</x:v>
      </x:c>
      <x:c r="L77" s="2"/>
      <x:c r="M77" s="2"/>
      <x:c r="N77" s="2"/>
      <x:c r="O77" s="2"/>
    </x:row>
    <x:row r="78" ht="26" customHeight="1">
      <x:c r="A78" s="2" t="str">
        <x:v>R077</x:v>
      </x:c>
      <x:c r="B78" s="7" t="d">
        <x:v>2026-09-21T00:00:00.000Z</x:v>
      </x:c>
      <x:c r="C78" s="2" t="str">
        <x:v>Письма</x:v>
      </x:c>
      <x:c r="D78" s="2" t="str">
        <x:v>пробовал</x:v>
      </x:c>
      <x:c r="E78" s="2" t="n">
        <x:v>6</x:v>
      </x:c>
      <x:c r="F78" s="2" t="str">
        <x:v>да</x:v>
      </x:c>
      <x:c r="G78" s="2" t="str">
        <x:v>Нашёл подходящий бесплатный инструмент. Пробовал повторить на следующий день. Задание 077.</x:v>
      </x:c>
      <x:c r="H78" s="2" t="str">
        <x:v>стоимость сервисов</x:v>
      </x:c>
      <x:c r="I78" s="2" t="str">
        <x:v>положительная</x:v>
      </x:c>
      <x:c r="J78" s="2" t="str">
        <x:v>Нашёл подходящий бесплатный инструмент</x:v>
      </x:c>
      <x:c r="K78" s="2" t="str">
        <x:v>нет</x:v>
      </x:c>
      <x:c r="L78" s="2"/>
      <x:c r="M78" s="2"/>
      <x:c r="N78" s="2"/>
      <x:c r="O78" s="2"/>
    </x:row>
    <x:row r="79" ht="26" customHeight="1">
      <x:c r="A79" s="2" t="str">
        <x:v>R078</x:v>
      </x:c>
      <x:c r="B79" s="7" t="d">
        <x:v>2026-09-22T00:00:00.000Z</x:v>
      </x:c>
      <x:c r="C79" s="2" t="str">
        <x:v>Презентации</x:v>
      </x:c>
      <x:c r="D79" s="2" t="str">
        <x:v>использую</x:v>
      </x:c>
      <x:c r="E79" s="2" t="n">
        <x:v>5</x:v>
      </x:c>
      <x:c r="F79" s="2" t="str">
        <x:v>да</x:v>
      </x:c>
      <x:c r="G79" s="2" t="str">
        <x:v>Сохранил памятку и повторил по ней шаги. Пробовал повторить на следующий день. Задание 078.</x:v>
      </x:c>
      <x:c r="H79" s="2" t="str">
        <x:v>материалы</x:v>
      </x:c>
      <x:c r="I79" s="2" t="str">
        <x:v>положительная</x:v>
      </x:c>
      <x:c r="J79" s="2" t="str">
        <x:v>Сохранил памятку и повторил по ней шаги</x:v>
      </x:c>
      <x:c r="K79" s="2" t="str">
        <x:v>нет</x:v>
      </x:c>
      <x:c r="L79" s="2"/>
      <x:c r="M79" s="2"/>
      <x:c r="N79" s="2"/>
      <x:c r="O79" s="2"/>
    </x:row>
    <x:row r="80" ht="26" customHeight="1">
      <x:c r="A80" s="2" t="str">
        <x:v>R079</x:v>
      </x:c>
      <x:c r="B80" s="7" t="d">
        <x:v>2026-09-23T00:00:00.000Z</x:v>
      </x:c>
      <x:c r="C80" s="2" t="str">
        <x:v>Поиск</x:v>
      </x:c>
      <x:c r="D80" s="2" t="str">
        <x:v>с нуля</x:v>
      </x:c>
      <x:c r="E80" s="2" t="n">
        <x:v>5</x:v>
      </x:c>
      <x:c r="F80" s="2" t="str">
        <x:v>да</x:v>
      </x:c>
      <x:c r="G80" s="2" t="str">
        <x:v>Ссылка пришла вовремя, звук был хороший. Пробовал повторить на следующий день. Задание 079.</x:v>
      </x:c>
      <x:c r="H80" s="2" t="str">
        <x:v>организация</x:v>
      </x:c>
      <x:c r="I80" s="2" t="str">
        <x:v>положительная</x:v>
      </x:c>
      <x:c r="J80" s="2" t="str">
        <x:v>Ссылка пришла вовремя, звук был хороший</x:v>
      </x:c>
      <x:c r="K80" s="2" t="str">
        <x:v>нет</x:v>
      </x:c>
      <x:c r="L80" s="2"/>
      <x:c r="M80" s="2"/>
      <x:c r="N80" s="2"/>
      <x:c r="O80" s="2"/>
    </x:row>
    <x:row r="81" ht="26" customHeight="1">
      <x:c r="A81" s="2" t="str">
        <x:v>R080</x:v>
      </x:c>
      <x:c r="B81" s="7" t="d">
        <x:v>2026-09-24T00:00:00.000Z</x:v>
      </x:c>
      <x:c r="C81" s="2" t="str">
        <x:v>Таблицы</x:v>
      </x:c>
      <x:c r="D81" s="2" t="str">
        <x:v>пробовал</x:v>
      </x:c>
      <x:c r="E81" s="2" t="n">
        <x:v>5</x:v>
      </x:c>
      <x:c r="F81" s="2" t="str">
        <x:v>да</x:v>
      </x:c>
      <x:c r="G81" s="2" t="str">
        <x:v>Спасибо за занятие. Пробовал повторить на следующий день. Задание 080.</x:v>
      </x:c>
      <x:c r="H81" s="2" t="str">
        <x:v>другое</x:v>
      </x:c>
      <x:c r="I81" s="2" t="str">
        <x:v>положительная</x:v>
      </x:c>
      <x:c r="J81" s="2" t="str">
        <x:v>Спасибо за занятие</x:v>
      </x:c>
      <x:c r="K81" s="2" t="str">
        <x:v>нет</x:v>
      </x:c>
      <x:c r="L81" s="2"/>
      <x:c r="M81" s="2"/>
      <x:c r="N81" s="2"/>
      <x:c r="O81" s="2"/>
    </x:row>
    <x:row r="82" ht="26" customHeight="1">
      <x:c r="A82" s="2" t="str">
        <x:v>R081</x:v>
      </x:c>
      <x:c r="B82" s="7" t="d">
        <x:v>2026-09-25T00:00:00.000Z</x:v>
      </x:c>
      <x:c r="C82" s="2" t="str">
        <x:v>Письма</x:v>
      </x:c>
      <x:c r="D82" s="2" t="str">
        <x:v>использую</x:v>
      </x:c>
      <x:c r="E82" s="2" t="n">
        <x:v>2</x:v>
      </x:c>
      <x:c r="F82" s="2" t="str">
        <x:v>нет</x:v>
      </x:c>
      <x:c r="G82" s="2" t="str">
        <x:v>Не понял разницу между задачей и запросом. Пробовал повторить на следующий день. Задание 081.</x:v>
      </x:c>
      <x:c r="H82" s="2" t="str">
        <x:v>понятность</x:v>
      </x:c>
      <x:c r="I82" s="2" t="str">
        <x:v>отрицательная</x:v>
      </x:c>
      <x:c r="J82" s="2" t="str">
        <x:v>Не понял разницу между задачей и запросом</x:v>
      </x:c>
      <x:c r="K82" s="2" t="str">
        <x:v>нет</x:v>
      </x:c>
      <x:c r="L82" s="2"/>
      <x:c r="M82" s="2"/>
      <x:c r="N82" s="2"/>
      <x:c r="O82" s="2"/>
    </x:row>
    <x:row r="83" ht="26" customHeight="1">
      <x:c r="A83" s="2" t="str">
        <x:v>R082</x:v>
      </x:c>
      <x:c r="B83" s="7" t="d">
        <x:v>2026-09-26T00:00:00.000Z</x:v>
      </x:c>
      <x:c r="C83" s="2" t="str">
        <x:v>Презентации</x:v>
      </x:c>
      <x:c r="D83" s="2" t="str">
        <x:v>с нуля</x:v>
      </x:c>
      <x:c r="E83" s="2" t="n">
        <x:v>2</x:v>
      </x:c>
      <x:c r="F83" s="2" t="str">
        <x:v>нет</x:v>
      </x:c>
      <x:c r="G83" s="2" t="str">
        <x:v>Слишком быстро переключались между окнами. Пробовал повторить на следующий день. Задание 082.</x:v>
      </x:c>
      <x:c r="H83" s="2" t="str">
        <x:v>темп</x:v>
      </x:c>
      <x:c r="I83" s="2" t="str">
        <x:v>отрицательная</x:v>
      </x:c>
      <x:c r="J83" s="2" t="str">
        <x:v>Слишком быстро переключались между окнами</x:v>
      </x:c>
      <x:c r="K83" s="2" t="str">
        <x:v>нет</x:v>
      </x:c>
      <x:c r="L83" s="2"/>
      <x:c r="M83" s="2"/>
      <x:c r="N83" s="2"/>
      <x:c r="O83" s="2"/>
    </x:row>
    <x:row r="84" ht="26" customHeight="1">
      <x:c r="A84" s="2" t="str">
        <x:v>R083</x:v>
      </x:c>
      <x:c r="B84" s="7" t="d">
        <x:v>2026-09-27T00:00:00.000Z</x:v>
      </x:c>
      <x:c r="C84" s="2" t="str">
        <x:v>Поиск</x:v>
      </x:c>
      <x:c r="D84" s="2" t="str">
        <x:v>пробовал</x:v>
      </x:c>
      <x:c r="E84" s="2" t="n">
        <x:v>2</x:v>
      </x:c>
      <x:c r="F84" s="2" t="str">
        <x:v>нет</x:v>
      </x:c>
      <x:c r="G84" s="2" t="str">
        <x:v>Не хватило самостоятельной практики. Пробовал повторить на следующий день. Задание 083.</x:v>
      </x:c>
      <x:c r="H84" s="2" t="str">
        <x:v>практика</x:v>
      </x:c>
      <x:c r="I84" s="2" t="str">
        <x:v>отрицательная</x:v>
      </x:c>
      <x:c r="J84" s="2" t="str">
        <x:v>Не хватило самостоятельной практики</x:v>
      </x:c>
      <x:c r="K84" s="2" t="str">
        <x:v>нет</x:v>
      </x:c>
      <x:c r="L84" s="2"/>
      <x:c r="M84" s="2"/>
      <x:c r="N84" s="2"/>
      <x:c r="O84" s="2"/>
    </x:row>
    <x:row r="85" ht="26" customHeight="1">
      <x:c r="A85" s="2" t="str">
        <x:v>R084</x:v>
      </x:c>
      <x:c r="B85" s="7" t="d">
        <x:v>2026-09-28T00:00:00.000Z</x:v>
      </x:c>
      <x:c r="C85" s="2" t="str">
        <x:v>Таблицы</x:v>
      </x:c>
      <x:c r="D85" s="2" t="str">
        <x:v>использую</x:v>
      </x:c>
      <x:c r="E85" s="2" t="n">
        <x:v>2</x:v>
      </x:c>
      <x:c r="F85" s="2" t="str">
        <x:v>нет</x:v>
      </x:c>
      <x:c r="G85" s="2" t="str">
        <x:v>Не удалось зарегистрироваться в сервисе. Пробовал повторить на следующий день. Задание 084.</x:v>
      </x:c>
      <x:c r="H85" s="2" t="str">
        <x:v>доступ к сервисам</x:v>
      </x:c>
      <x:c r="I85" s="2" t="str">
        <x:v>отрицательная</x:v>
      </x:c>
      <x:c r="J85" s="2" t="str">
        <x:v>Не удалось зарегистрироваться в сервисе</x:v>
      </x:c>
      <x:c r="K85" s="2" t="str">
        <x:v>нет</x:v>
      </x:c>
      <x:c r="L85" s="2"/>
      <x:c r="M85" s="2"/>
      <x:c r="N85" s="2"/>
      <x:c r="O85" s="2"/>
    </x:row>
    <x:row r="86" ht="26" customHeight="1">
      <x:c r="A86" s="2" t="str">
        <x:v>R085</x:v>
      </x:c>
      <x:c r="B86" s="7" t="d">
        <x:v>2026-09-01T00:00:00.000Z</x:v>
      </x:c>
      <x:c r="C86" s="2" t="str">
        <x:v>Письма</x:v>
      </x:c>
      <x:c r="D86" s="2" t="str">
        <x:v>с нуля</x:v>
      </x:c>
      <x:c r="E86" s="2" t="n">
        <x:v>2</x:v>
      </x:c>
      <x:c r="F86" s="2" t="str">
        <x:v>нет</x:v>
      </x:c>
      <x:c r="G86" s="2" t="str">
        <x:v>Непонятно, какие функции требуют оплаты. Пробовал повторить на следующий день. Задание 085.</x:v>
      </x:c>
      <x:c r="H86" s="2" t="str">
        <x:v>стоимость сервисов</x:v>
      </x:c>
      <x:c r="I86" s="2" t="str">
        <x:v>отрицательная</x:v>
      </x:c>
      <x:c r="J86" s="2" t="str">
        <x:v>Непонятно, какие функции требуют оплаты</x:v>
      </x:c>
      <x:c r="K86" s="2" t="str">
        <x:v>нет</x:v>
      </x:c>
      <x:c r="L86" s="2"/>
      <x:c r="M86" s="2"/>
      <x:c r="N86" s="2"/>
      <x:c r="O86" s="2"/>
    </x:row>
    <x:row r="87" ht="26" customHeight="1">
      <x:c r="A87" s="2" t="str">
        <x:v>R086</x:v>
      </x:c>
      <x:c r="B87" s="7" t="d">
        <x:v>2026-09-02T00:00:00.000Z</x:v>
      </x:c>
      <x:c r="C87" s="2" t="str">
        <x:v>Презентации</x:v>
      </x:c>
      <x:c r="D87" s="2" t="str">
        <x:v>пробовал</x:v>
      </x:c>
      <x:c r="E87" s="2" t="n">
        <x:v>2</x:v>
      </x:c>
      <x:c r="F87" s="2" t="str">
        <x:v>нет</x:v>
      </x:c>
      <x:c r="G87" s="2" t="str">
        <x:v>Не нашёл файл с примером после занятия. Пробовал повторить на следующий день. Задание 086.</x:v>
      </x:c>
      <x:c r="H87" s="2" t="str">
        <x:v>материалы</x:v>
      </x:c>
      <x:c r="I87" s="2" t="str">
        <x:v>отрицательная</x:v>
      </x:c>
      <x:c r="J87" s="2" t="str">
        <x:v>Не нашёл файл с примером после занятия</x:v>
      </x:c>
      <x:c r="K87" s="2" t="str">
        <x:v>нет</x:v>
      </x:c>
      <x:c r="L87" s="2"/>
      <x:c r="M87" s="2"/>
      <x:c r="N87" s="2"/>
      <x:c r="O87" s="2"/>
    </x:row>
    <x:row r="88" ht="26" customHeight="1">
      <x:c r="A88" s="2" t="str">
        <x:v>R087</x:v>
      </x:c>
      <x:c r="B88" s="7" t="d">
        <x:v>2026-09-03T00:00:00.000Z</x:v>
      </x:c>
      <x:c r="C88" s="2" t="str">
        <x:v>Поиск</x:v>
      </x:c>
      <x:c r="D88" s="2" t="str">
        <x:v>использую</x:v>
      </x:c>
      <x:c r="E88" s="2" t="n">
        <x:v>2</x:v>
      </x:c>
      <x:c r="F88" s="2" t="str">
        <x:v>нет</x:v>
      </x:c>
      <x:c r="G88" s="2" t="str">
        <x:v>Не было слышно часть объяснения. Пробовал повторить на следующий день. Задание 087.</x:v>
      </x:c>
      <x:c r="H88" s="2" t="str">
        <x:v>организация</x:v>
      </x:c>
      <x:c r="I88" s="2" t="str">
        <x:v>отрицательная</x:v>
      </x:c>
      <x:c r="J88" s="2" t="str">
        <x:v>Не было слышно часть объяснения</x:v>
      </x:c>
      <x:c r="K88" s="2" t="str">
        <x:v>нет</x:v>
      </x:c>
      <x:c r="L88" s="2"/>
      <x:c r="M88" s="2"/>
      <x:c r="N88" s="2"/>
      <x:c r="O88" s="2"/>
    </x:row>
    <x:row r="89" ht="26" customHeight="1">
      <x:c r="A89" s="2" t="str">
        <x:v>R088</x:v>
      </x:c>
      <x:c r="B89" s="7" t="d">
        <x:v>2026-09-04T00:00:00.000Z</x:v>
      </x:c>
      <x:c r="C89" s="2" t="str">
        <x:v>Таблицы</x:v>
      </x:c>
      <x:c r="D89" s="2" t="str">
        <x:v>с нуля</x:v>
      </x:c>
      <x:c r="E89" s="2" t="n">
        <x:v>3</x:v>
      </x:c>
      <x:c r="F89" s="2" t="str">
        <x:v>нет</x:v>
      </x:c>
      <x:c r="G89" s="2" t="str">
        <x:v>Нормально. Пробовал повторить на следующий день. Задание 088.</x:v>
      </x:c>
      <x:c r="H89" s="2" t="str">
        <x:v>другое</x:v>
      </x:c>
      <x:c r="I89" s="2" t="str">
        <x:v>нейтральная</x:v>
      </x:c>
      <x:c r="J89" s="2" t="str">
        <x:v>Нормально</x:v>
      </x:c>
      <x:c r="K89" s="2" t="str">
        <x:v>да</x:v>
      </x:c>
      <x:c r="L89" s="2"/>
      <x:c r="M89" s="2"/>
      <x:c r="N89" s="2"/>
      <x:c r="O89" s="2"/>
    </x:row>
    <x:row r="90" ht="26" customHeight="1">
      <x:c r="A90" s="2" t="str">
        <x:v>R089</x:v>
      </x:c>
      <x:c r="B90" s="7" t="d">
        <x:v>2026-09-05T00:00:00.000Z</x:v>
      </x:c>
      <x:c r="C90" s="2" t="str">
        <x:v>Письма</x:v>
      </x:c>
      <x:c r="D90" s="2" t="str">
        <x:v>пробовал</x:v>
      </x:c>
      <x:c r="E90" s="2" t="n">
        <x:v>3</x:v>
      </x:c>
      <x:c r="F90" s="2" t="str">
        <x:v>нет</x:v>
      </x:c>
      <x:c r="G90" s="2" t="str">
        <x:v>Термины объяснили понятно, но часть шагов осталась неясной. Пробовал повторить на следующий день. Задание 089.</x:v>
      </x:c>
      <x:c r="H90" s="2" t="str">
        <x:v>понятность</x:v>
      </x:c>
      <x:c r="I90" s="2" t="str">
        <x:v>смешанная</x:v>
      </x:c>
      <x:c r="J90" s="2" t="str">
        <x:v>Термины объяснили понятно, но часть шагов осталась неясной</x:v>
      </x:c>
      <x:c r="K90" s="2" t="str">
        <x:v>да</x:v>
      </x:c>
      <x:c r="L90" s="2"/>
      <x:c r="M90" s="2"/>
      <x:c r="N90" s="2"/>
      <x:c r="O90" s="2"/>
    </x:row>
    <x:row r="91" ht="26" customHeight="1">
      <x:c r="A91" s="2" t="str">
        <x:v>R090</x:v>
      </x:c>
      <x:c r="B91" s="7" t="d">
        <x:v>2026-09-06T00:00:00.000Z</x:v>
      </x:c>
      <x:c r="C91" s="2" t="str">
        <x:v>Презентации</x:v>
      </x:c>
      <x:c r="D91" s="2" t="str">
        <x:v>использую</x:v>
      </x:c>
      <x:c r="E91" s="2" t="n">
        <x:v>3</x:v>
      </x:c>
      <x:c r="F91" s="2" t="str">
        <x:v>нет</x:v>
      </x:c>
      <x:c r="G91" s="2" t="str">
        <x:v>Начало шло спокойно, а конец был слишком быстрым. Пробовал повторить на следующий день. Задание 090.</x:v>
      </x:c>
      <x:c r="H91" s="2" t="str">
        <x:v>темп</x:v>
      </x:c>
      <x:c r="I91" s="2" t="str">
        <x:v>смешанная</x:v>
      </x:c>
      <x:c r="J91" s="2" t="str">
        <x:v>Начало шло спокойно, а конец был слишком быстрым</x:v>
      </x:c>
      <x:c r="K91" s="2" t="str">
        <x:v>да</x:v>
      </x:c>
      <x:c r="L91" s="2"/>
      <x:c r="M91" s="2"/>
      <x:c r="N91" s="2"/>
      <x:c r="O91" s="2"/>
    </x:row>
    <x:row r="92" ht="26" customHeight="1">
      <x:c r="A92" s="2" t="str">
        <x:v>R091</x:v>
      </x:c>
      <x:c r="B92" s="7" t="d">
        <x:v>2026-09-07T00:00:00.000Z</x:v>
      </x:c>
      <x:c r="C92" s="2" t="str">
        <x:v>Поиск</x:v>
      </x:c>
      <x:c r="D92" s="2" t="str">
        <x:v>с нуля</x:v>
      </x:c>
      <x:c r="E92" s="2" t="n">
        <x:v>4</x:v>
      </x:c>
      <x:c r="F92" s="2" t="str">
        <x:v>позже</x:v>
      </x:c>
      <x:c r="G92" s="2" t="str">
        <x:v>Примеры полезные, но хочу задание для своей работы. Пробовал повторить на следующий день. Задание 091.</x:v>
      </x:c>
      <x:c r="H92" s="2" t="str">
        <x:v>практика</x:v>
      </x:c>
      <x:c r="I92" s="2" t="str">
        <x:v>смешанная</x:v>
      </x:c>
      <x:c r="J92" s="2" t="str">
        <x:v>Примеры полезные, но хочу задание для своей работы</x:v>
      </x:c>
      <x:c r="K92" s="2" t="str">
        <x:v>да</x:v>
      </x:c>
      <x:c r="L92" s="2"/>
      <x:c r="M92" s="2"/>
      <x:c r="N92" s="2"/>
      <x:c r="O92" s="2"/>
    </x:row>
    <x:row r="93" ht="26" customHeight="1">
      <x:c r="A93" s="2" t="str">
        <x:v>R092</x:v>
      </x:c>
      <x:c r="B93" s="7" t="d">
        <x:v>2026-09-08T00:00:00.000Z</x:v>
      </x:c>
      <x:c r="C93" s="2" t="str">
        <x:v>Таблицы</x:v>
      </x:c>
      <x:c r="D93" s="2" t="str">
        <x:v>пробовал</x:v>
      </x:c>
      <x:c r="E93" s="2" t="n">
        <x:v>4</x:v>
      </x:c>
      <x:c r="F93" s="2" t="str">
        <x:v>да</x:v>
      </x:c>
      <x:c r="G93" s="2" t="str">
        <x:v>Сначала не смог войти, потом помог резервный способ. Пробовал повторить на следующий день. Задание 092.</x:v>
      </x:c>
      <x:c r="H93" s="2" t="str">
        <x:v>доступ к сервисам</x:v>
      </x:c>
      <x:c r="I93" s="2" t="str">
        <x:v>смешанная</x:v>
      </x:c>
      <x:c r="J93" s="2" t="str">
        <x:v>Сначала не смог войти, потом помог резервный способ</x:v>
      </x:c>
      <x:c r="K93" s="2" t="str">
        <x:v>да</x:v>
      </x:c>
      <x:c r="L93" s="2"/>
      <x:c r="M93" s="2"/>
      <x:c r="N93" s="2"/>
      <x:c r="O93" s="2"/>
    </x:row>
    <x:row r="94" ht="26" customHeight="1">
      <x:c r="A94" s="2" t="str">
        <x:v>R093</x:v>
      </x:c>
      <x:c r="B94" s="7" t="d">
        <x:v>2026-09-09T00:00:00.000Z</x:v>
      </x:c>
      <x:c r="C94" s="2" t="str">
        <x:v>Письма</x:v>
      </x:c>
      <x:c r="D94" s="2" t="str">
        <x:v>использую</x:v>
      </x:c>
      <x:c r="E94" s="2" t="n">
        <x:v>3</x:v>
      </x:c>
      <x:c r="F94" s="2" t="str">
        <x:v>нет</x:v>
      </x:c>
      <x:c r="G94" s="2" t="str">
        <x:v>Бесплатного режима хватило для примера, но дальше есть ограничения. Пробовал повторить на следующий день. Задание 093.</x:v>
      </x:c>
      <x:c r="H94" s="2" t="str">
        <x:v>стоимость сервисов</x:v>
      </x:c>
      <x:c r="I94" s="2" t="str">
        <x:v>смешанная</x:v>
      </x:c>
      <x:c r="J94" s="2" t="str">
        <x:v>Бесплатного режима хватило для примера, но дальше есть ограничения</x:v>
      </x:c>
      <x:c r="K94" s="2" t="str">
        <x:v>да</x:v>
      </x:c>
      <x:c r="L94" s="2"/>
      <x:c r="M94" s="2"/>
      <x:c r="N94" s="2"/>
      <x:c r="O94" s="2"/>
    </x:row>
    <x:row r="95" ht="26" customHeight="1">
      <x:c r="A95" s="2" t="str">
        <x:v>R094</x:v>
      </x:c>
      <x:c r="B95" s="7" t="d">
        <x:v>2026-09-10T00:00:00.000Z</x:v>
      </x:c>
      <x:c r="C95" s="2" t="str">
        <x:v>Презентации</x:v>
      </x:c>
      <x:c r="D95" s="2" t="str">
        <x:v>с нуля</x:v>
      </x:c>
      <x:c r="E95" s="2" t="n">
        <x:v>4</x:v>
      </x:c>
      <x:c r="F95" s="2" t="str">
        <x:v>да</x:v>
      </x:c>
      <x:c r="G95" s="2" t="str">
        <x:v>Запись полезная, хотелось бы добавить таймкоды. Пробовал повторить на следующий день. Задание 094.</x:v>
      </x:c>
      <x:c r="H95" s="2" t="str">
        <x:v>материалы</x:v>
      </x:c>
      <x:c r="I95" s="2" t="str">
        <x:v>смешанная</x:v>
      </x:c>
      <x:c r="J95" s="2" t="str">
        <x:v>Запись полезная, хотелось бы добавить таймкоды</x:v>
      </x:c>
      <x:c r="K95" s="2" t="str">
        <x:v>да</x:v>
      </x:c>
      <x:c r="L95" s="2"/>
      <x:c r="M95" s="2"/>
      <x:c r="N95" s="2"/>
      <x:c r="O95" s="2"/>
    </x:row>
    <x:row r="96" ht="26" customHeight="1">
      <x:c r="A96" s="2" t="str">
        <x:v>R095</x:v>
      </x:c>
      <x:c r="B96" s="7" t="d">
        <x:v>2026-09-11T00:00:00.000Z</x:v>
      </x:c>
      <x:c r="C96" s="2" t="str">
        <x:v>Поиск</x:v>
      </x:c>
      <x:c r="D96" s="2" t="str">
        <x:v>пробовал</x:v>
      </x:c>
      <x:c r="E96" s="2" t="n">
        <x:v>3</x:v>
      </x:c>
      <x:c r="F96" s="2" t="str">
        <x:v>нет</x:v>
      </x:c>
      <x:c r="G96" s="2" t="str">
        <x:v>Подключился легко, но вопросы в чате остались без ответа. Пробовал повторить на следующий день. Задание 095.</x:v>
      </x:c>
      <x:c r="H96" s="2" t="str">
        <x:v>организация</x:v>
      </x:c>
      <x:c r="I96" s="2" t="str">
        <x:v>смешанная</x:v>
      </x:c>
      <x:c r="J96" s="2" t="str">
        <x:v>Подключился легко, но вопросы в чате остались без ответа</x:v>
      </x:c>
      <x:c r="K96" s="2" t="str">
        <x:v>да</x:v>
      </x:c>
      <x:c r="L96" s="2"/>
      <x:c r="M96" s="2"/>
      <x:c r="N96" s="2"/>
      <x:c r="O96" s="2"/>
    </x:row>
    <x:row r="97" ht="26" customHeight="1">
      <x:c r="A97" s="2" t="str">
        <x:v>R096</x:v>
      </x:c>
      <x:c r="B97" s="7" t="d">
        <x:v>2026-09-12T00:00:00.000Z</x:v>
      </x:c>
      <x:c r="C97" s="2" t="str">
        <x:v>Таблицы</x:v>
      </x:c>
      <x:c r="D97" s="2" t="str">
        <x:v>использую</x:v>
      </x:c>
      <x:c r="E97" s="2" t="n">
        <x:v>3</x:v>
      </x:c>
      <x:c r="F97" s="2" t="str">
        <x:v>нет</x:v>
      </x:c>
      <x:c r="G97" s="2" t="str">
        <x:v>Пока не решил, где буду это применять. Пробовал повторить на следующий день. Задание 096.</x:v>
      </x:c>
      <x:c r="H97" s="2" t="str">
        <x:v>другое</x:v>
      </x:c>
      <x:c r="I97" s="2" t="str">
        <x:v>нейтральная</x:v>
      </x:c>
      <x:c r="J97" s="2" t="str">
        <x:v>Пока не решил, где буду это применять</x:v>
      </x:c>
      <x:c r="K97" s="2" t="str">
        <x:v>да</x:v>
      </x:c>
      <x:c r="L97" s="2"/>
      <x:c r="M97" s="2"/>
      <x:c r="N97" s="2"/>
      <x:c r="O97" s="2"/>
    </x:row>
    <x:row r="98" ht="26" customHeight="1">
      <x:c r="A98" s="2" t="str">
        <x:v>R097</x:v>
      </x:c>
      <x:c r="B98" s="7" t="d">
        <x:v>2026-09-13T00:00:00.000Z</x:v>
      </x:c>
      <x:c r="C98" s="2" t="str">
        <x:v>Письма</x:v>
      </x:c>
      <x:c r="D98" s="2" t="str">
        <x:v>с нуля</x:v>
      </x:c>
      <x:c r="E98" s="2" t="n">
        <x:v>5</x:v>
      </x:c>
      <x:c r="F98" s="2" t="str">
        <x:v>да</x:v>
      </x:c>
      <x:c r="G98" s="2" t="str">
        <x:v>Объяснение стало понятным после примера. Для меня это новый инструмент. Задание 097.</x:v>
      </x:c>
      <x:c r="H98" s="2" t="str">
        <x:v>понятность</x:v>
      </x:c>
      <x:c r="I98" s="2" t="str">
        <x:v>положительная</x:v>
      </x:c>
      <x:c r="J98" s="2" t="str">
        <x:v>Объяснение стало понятным после примера</x:v>
      </x:c>
      <x:c r="K98" s="2" t="str">
        <x:v>нет</x:v>
      </x:c>
      <x:c r="L98" s="2"/>
      <x:c r="M98" s="2"/>
      <x:c r="N98" s="2"/>
      <x:c r="O98" s="2"/>
    </x:row>
    <x:row r="99" ht="26" customHeight="1">
      <x:c r="A99" s="2" t="str">
        <x:v>R098</x:v>
      </x:c>
      <x:c r="B99" s="7" t="d">
        <x:v>2026-09-14T00:00:00.000Z</x:v>
      </x:c>
      <x:c r="C99" s="2" t="str">
        <x:v>Презентации</x:v>
      </x:c>
      <x:c r="D99" s="2" t="str">
        <x:v>пробовал</x:v>
      </x:c>
      <x:c r="E99" s="2" t="n">
        <x:v>5</x:v>
      </x:c>
      <x:c r="F99" s="2" t="str">
        <x:v>да</x:v>
      </x:c>
      <x:c r="G99" s="2" t="str">
        <x:v>Успевал повторять действия на экране. Для меня это новый инструмент. Задание 098.</x:v>
      </x:c>
      <x:c r="H99" s="2" t="str">
        <x:v>темп</x:v>
      </x:c>
      <x:c r="I99" s="2" t="str">
        <x:v>положительная</x:v>
      </x:c>
      <x:c r="J99" s="2" t="str">
        <x:v>Успевал повторять действия на экране</x:v>
      </x:c>
      <x:c r="K99" s="2" t="str">
        <x:v>нет</x:v>
      </x:c>
      <x:c r="L99" s="2"/>
      <x:c r="M99" s="2"/>
      <x:c r="N99" s="2"/>
      <x:c r="O99" s="2"/>
    </x:row>
    <x:row r="100" ht="26" customHeight="1">
      <x:c r="A100" s="2" t="str">
        <x:v>R099</x:v>
      </x:c>
      <x:c r="B100" s="7" t="d">
        <x:v>2026-09-15T00:00:00.000Z</x:v>
      </x:c>
      <x:c r="C100" s="2" t="str">
        <x:v>Поиск</x:v>
      </x:c>
      <x:c r="D100" s="2" t="str">
        <x:v>использую</x:v>
      </x:c>
      <x:c r="E100" s="2" t="n">
        <x:v>5</x:v>
      </x:c>
      <x:c r="F100" s="2" t="str">
        <x:v>да</x:v>
      </x:c>
      <x:c r="G100" s="2" t="str">
        <x:v>Сам сделал письмо клиенту по образцу. Для меня это новый инструмент. Задание 099.</x:v>
      </x:c>
      <x:c r="H100" s="2" t="str">
        <x:v>практика</x:v>
      </x:c>
      <x:c r="I100" s="2" t="str">
        <x:v>положительная</x:v>
      </x:c>
      <x:c r="J100" s="2" t="str">
        <x:v>Сам сделал письмо клиенту по образцу</x:v>
      </x:c>
      <x:c r="K100" s="2" t="str">
        <x:v>нет</x:v>
      </x:c>
      <x:c r="L100" s="2"/>
      <x:c r="M100" s="2"/>
      <x:c r="N100" s="2"/>
      <x:c r="O100" s="2"/>
    </x:row>
    <x:row r="101" ht="26" customHeight="1">
      <x:c r="A101" s="2" t="str">
        <x:v>R100</x:v>
      </x:c>
      <x:c r="B101" s="7" t="d">
        <x:v>2026-09-16T00:00:00.000Z</x:v>
      </x:c>
      <x:c r="C101" s="2" t="str">
        <x:v>Таблицы</x:v>
      </x:c>
      <x:c r="D101" s="2" t="str">
        <x:v>с нуля</x:v>
      </x:c>
      <x:c r="E101" s="2" t="n">
        <x:v>5</x:v>
      </x:c>
      <x:c r="F101" s="2" t="str">
        <x:v>да</x:v>
      </x:c>
      <x:c r="G101" s="2" t="str">
        <x:v>Получилось войти в сервис и выполнить задание. Для меня это новый инструмент. Задание 100.</x:v>
      </x:c>
      <x:c r="H101" s="2" t="str">
        <x:v>доступ к сервисам</x:v>
      </x:c>
      <x:c r="I101" s="2" t="str">
        <x:v>положительная</x:v>
      </x:c>
      <x:c r="J101" s="2" t="str">
        <x:v>Получилось войти в сервис и выполнить задание</x:v>
      </x:c>
      <x:c r="K101" s="2" t="str">
        <x:v>нет</x:v>
      </x:c>
      <x:c r="L101" s="2"/>
      <x:c r="M101" s="2"/>
      <x:c r="N101" s="2"/>
      <x:c r="O101" s="2"/>
    </x:row>
    <x:row r="102" ht="26" customHeight="1">
      <x:c r="A102" s="2" t="str">
        <x:v>R101</x:v>
      </x:c>
      <x:c r="B102" s="7" t="d">
        <x:v>2026-09-17T00:00:00.000Z</x:v>
      </x:c>
      <x:c r="C102" s="2" t="str">
        <x:v>Письма</x:v>
      </x:c>
      <x:c r="D102" s="2" t="str">
        <x:v>пробовал</x:v>
      </x:c>
      <x:c r="E102" s="2" t="n">
        <x:v>5</x:v>
      </x:c>
      <x:c r="F102" s="2" t="str">
        <x:v>да</x:v>
      </x:c>
      <x:c r="G102" s="2" t="str">
        <x:v>Нашёл подходящий бесплатный инструмент. Для меня это новый инструмент. Задание 101.</x:v>
      </x:c>
      <x:c r="H102" s="2" t="str">
        <x:v>стоимость сервисов</x:v>
      </x:c>
      <x:c r="I102" s="2" t="str">
        <x:v>положительная</x:v>
      </x:c>
      <x:c r="J102" s="2" t="str">
        <x:v>Нашёл подходящий бесплатный инструмент</x:v>
      </x:c>
      <x:c r="K102" s="2" t="str">
        <x:v>нет</x:v>
      </x:c>
      <x:c r="L102" s="2"/>
      <x:c r="M102" s="2"/>
      <x:c r="N102" s="2"/>
      <x:c r="O102" s="2"/>
    </x:row>
    <x:row r="103" ht="26" customHeight="1">
      <x:c r="A103" s="2" t="str">
        <x:v>R102</x:v>
      </x:c>
      <x:c r="B103" s="7" t="d">
        <x:v>2026-09-18T00:00:00.000Z</x:v>
      </x:c>
      <x:c r="C103" s="2" t="str">
        <x:v>Презентации</x:v>
      </x:c>
      <x:c r="D103" s="2" t="str">
        <x:v>использую</x:v>
      </x:c>
      <x:c r="E103" s="2" t="n">
        <x:v>5</x:v>
      </x:c>
      <x:c r="F103" s="2" t="str">
        <x:v>да</x:v>
      </x:c>
      <x:c r="G103" s="2" t="str">
        <x:v>Сохранил памятку и повторил по ней шаги. Для меня это новый инструмент. Задание 102.</x:v>
      </x:c>
      <x:c r="H103" s="2" t="str">
        <x:v>материалы</x:v>
      </x:c>
      <x:c r="I103" s="2" t="str">
        <x:v>положительная</x:v>
      </x:c>
      <x:c r="J103" s="2" t="str">
        <x:v>Сохранил памятку и повторил по ней шаги</x:v>
      </x:c>
      <x:c r="K103" s="2" t="str">
        <x:v>нет</x:v>
      </x:c>
      <x:c r="L103" s="2"/>
      <x:c r="M103" s="2"/>
      <x:c r="N103" s="2"/>
      <x:c r="O103" s="2"/>
    </x:row>
    <x:row r="104" ht="26" customHeight="1">
      <x:c r="A104" s="2" t="str">
        <x:v>R103</x:v>
      </x:c>
      <x:c r="B104" s="7" t="d">
        <x:v>2026-09-19T00:00:00.000Z</x:v>
      </x:c>
      <x:c r="C104" s="2" t="str">
        <x:v>Поиск</x:v>
      </x:c>
      <x:c r="D104" s="2" t="str">
        <x:v>с нуля</x:v>
      </x:c>
      <x:c r="E104" s="2" t="n">
        <x:v>5</x:v>
      </x:c>
      <x:c r="F104" s="2" t="str">
        <x:v>да</x:v>
      </x:c>
      <x:c r="G104" s="2" t="str">
        <x:v>Ссылка пришла вовремя, звук был хороший. Для меня это новый инструмент. Задание 103.</x:v>
      </x:c>
      <x:c r="H104" s="2" t="str">
        <x:v>организация</x:v>
      </x:c>
      <x:c r="I104" s="2" t="str">
        <x:v>положительная</x:v>
      </x:c>
      <x:c r="J104" s="2" t="str">
        <x:v>Ссылка пришла вовремя, звук был хороший</x:v>
      </x:c>
      <x:c r="K104" s="2" t="str">
        <x:v>нет</x:v>
      </x:c>
      <x:c r="L104" s="2"/>
      <x:c r="M104" s="2"/>
      <x:c r="N104" s="2"/>
      <x:c r="O104" s="2"/>
    </x:row>
    <x:row r="105" ht="26" customHeight="1">
      <x:c r="A105" s="2" t="str">
        <x:v>R104</x:v>
      </x:c>
      <x:c r="B105" s="7" t="d">
        <x:v>2026-09-20T00:00:00.000Z</x:v>
      </x:c>
      <x:c r="C105" s="2" t="str">
        <x:v>Таблицы</x:v>
      </x:c>
      <x:c r="D105" s="2" t="str">
        <x:v>пробовал</x:v>
      </x:c>
      <x:c r="E105" s="2" t="n">
        <x:v>5</x:v>
      </x:c>
      <x:c r="F105" s="2" t="str">
        <x:v>да</x:v>
      </x:c>
      <x:c r="G105" s="2" t="str">
        <x:v>Спасибо за занятие. Для меня это новый инструмент. Задание 104.</x:v>
      </x:c>
      <x:c r="H105" s="2" t="str">
        <x:v>другое</x:v>
      </x:c>
      <x:c r="I105" s="2" t="str">
        <x:v>положительная</x:v>
      </x:c>
      <x:c r="J105" s="2" t="str">
        <x:v>Спасибо за занятие</x:v>
      </x:c>
      <x:c r="K105" s="2" t="str">
        <x:v>нет</x:v>
      </x:c>
      <x:c r="L105" s="2"/>
      <x:c r="M105" s="2"/>
      <x:c r="N105" s="2"/>
      <x:c r="O105" s="2"/>
    </x:row>
    <x:row r="106" ht="26" customHeight="1">
      <x:c r="A106" s="2" t="str">
        <x:v>R105</x:v>
      </x:c>
      <x:c r="B106" s="7" t="d">
        <x:v>2026-09-21T00:00:00.000Z</x:v>
      </x:c>
      <x:c r="C106" s="2" t="str">
        <x:v>Письма</x:v>
      </x:c>
      <x:c r="D106" s="2" t="str">
        <x:v>использую</x:v>
      </x:c>
      <x:c r="E106" s="2" t="n">
        <x:v>2</x:v>
      </x:c>
      <x:c r="F106" s="2" t="str">
        <x:v>нет</x:v>
      </x:c>
      <x:c r="G106" s="2" t="str">
        <x:v>Не понял разницу между задачей и запросом. Для меня это новый инструмент. Задание 105.</x:v>
      </x:c>
      <x:c r="H106" s="2" t="str">
        <x:v>понятность</x:v>
      </x:c>
      <x:c r="I106" s="2" t="str">
        <x:v>отрицательная</x:v>
      </x:c>
      <x:c r="J106" s="2" t="str">
        <x:v>Не понял разницу между задачей и запросом</x:v>
      </x:c>
      <x:c r="K106" s="2" t="str">
        <x:v>нет</x:v>
      </x:c>
      <x:c r="L106" s="2"/>
      <x:c r="M106" s="2"/>
      <x:c r="N106" s="2"/>
      <x:c r="O106" s="2"/>
    </x:row>
    <x:row r="107" ht="26" customHeight="1">
      <x:c r="A107" s="2" t="str">
        <x:v>R106</x:v>
      </x:c>
      <x:c r="B107" s="7" t="d">
        <x:v>2026-09-22T00:00:00.000Z</x:v>
      </x:c>
      <x:c r="C107" s="2" t="str">
        <x:v>Презентации</x:v>
      </x:c>
      <x:c r="D107" s="2" t="str">
        <x:v>с нуля</x:v>
      </x:c>
      <x:c r="E107" s="2" t="n">
        <x:v>2</x:v>
      </x:c>
      <x:c r="F107" s="2" t="str">
        <x:v>нет</x:v>
      </x:c>
      <x:c r="G107" s="2" t="str">
        <x:v>Слишком быстро переключались между окнами. Для меня это новый инструмент. Задание 106.</x:v>
      </x:c>
      <x:c r="H107" s="2" t="str">
        <x:v>темп</x:v>
      </x:c>
      <x:c r="I107" s="2" t="str">
        <x:v>отрицательная</x:v>
      </x:c>
      <x:c r="J107" s="2" t="str">
        <x:v>Слишком быстро переключались между окнами</x:v>
      </x:c>
      <x:c r="K107" s="2" t="str">
        <x:v>нет</x:v>
      </x:c>
      <x:c r="L107" s="2"/>
      <x:c r="M107" s="2"/>
      <x:c r="N107" s="2"/>
      <x:c r="O107" s="2"/>
    </x:row>
    <x:row r="108" ht="26" customHeight="1">
      <x:c r="A108" s="2" t="str">
        <x:v>R107</x:v>
      </x:c>
      <x:c r="B108" s="7" t="d">
        <x:v>2026-09-23T00:00:00.000Z</x:v>
      </x:c>
      <x:c r="C108" s="2" t="str">
        <x:v>Поиск</x:v>
      </x:c>
      <x:c r="D108" s="2" t="str">
        <x:v>пробовал</x:v>
      </x:c>
      <x:c r="E108" s="2" t="n">
        <x:v>2</x:v>
      </x:c>
      <x:c r="F108" s="2" t="str">
        <x:v>нет</x:v>
      </x:c>
      <x:c r="G108" s="2" t="str">
        <x:v>Не хватило самостоятельной практики. Для меня это новый инструмент. Задание 107.</x:v>
      </x:c>
      <x:c r="H108" s="2" t="str">
        <x:v>практика</x:v>
      </x:c>
      <x:c r="I108" s="2" t="str">
        <x:v>отрицательная</x:v>
      </x:c>
      <x:c r="J108" s="2" t="str">
        <x:v>Не хватило самостоятельной практики</x:v>
      </x:c>
      <x:c r="K108" s="2" t="str">
        <x:v>нет</x:v>
      </x:c>
      <x:c r="L108" s="2"/>
      <x:c r="M108" s="2"/>
      <x:c r="N108" s="2"/>
      <x:c r="O108" s="2"/>
    </x:row>
    <x:row r="109" ht="26" customHeight="1">
      <x:c r="A109" s="2" t="str">
        <x:v>R108</x:v>
      </x:c>
      <x:c r="B109" s="7" t="d">
        <x:v>2026-09-24T00:00:00.000Z</x:v>
      </x:c>
      <x:c r="C109" s="2" t="str">
        <x:v>Таблицы</x:v>
      </x:c>
      <x:c r="D109" s="2" t="str">
        <x:v>использую</x:v>
      </x:c>
      <x:c r="E109" s="2" t="n">
        <x:v>2</x:v>
      </x:c>
      <x:c r="F109" s="2" t="str">
        <x:v>нет</x:v>
      </x:c>
      <x:c r="G109" s="2" t="str">
        <x:v>Не удалось зарегистрироваться в сервисе. Для меня это новый инструмент. Задание 108.</x:v>
      </x:c>
      <x:c r="H109" s="2" t="str">
        <x:v>доступ к сервисам</x:v>
      </x:c>
      <x:c r="I109" s="2" t="str">
        <x:v>отрицательная</x:v>
      </x:c>
      <x:c r="J109" s="2" t="str">
        <x:v>Не удалось зарегистрироваться в сервисе</x:v>
      </x:c>
      <x:c r="K109" s="2" t="str">
        <x:v>нет</x:v>
      </x:c>
      <x:c r="L109" s="2"/>
      <x:c r="M109" s="2"/>
      <x:c r="N109" s="2"/>
      <x:c r="O109" s="2"/>
    </x:row>
    <x:row r="110" ht="26" customHeight="1">
      <x:c r="A110" s="2" t="str">
        <x:v>R109</x:v>
      </x:c>
      <x:c r="B110" s="7" t="d">
        <x:v>2026-09-25T00:00:00.000Z</x:v>
      </x:c>
      <x:c r="C110" s="2" t="str">
        <x:v>Письма</x:v>
      </x:c>
      <x:c r="D110" s="2" t="str">
        <x:v>с нуля</x:v>
      </x:c>
      <x:c r="E110" s="2" t="n">
        <x:v>2</x:v>
      </x:c>
      <x:c r="F110" s="2" t="str">
        <x:v>нет</x:v>
      </x:c>
      <x:c r="G110" s="2" t="str">
        <x:v>Непонятно, какие функции требуют оплаты. Для меня это новый инструмент. Задание 109.</x:v>
      </x:c>
      <x:c r="H110" s="2" t="str">
        <x:v>стоимость сервисов</x:v>
      </x:c>
      <x:c r="I110" s="2" t="str">
        <x:v>отрицательная</x:v>
      </x:c>
      <x:c r="J110" s="2" t="str">
        <x:v>Непонятно, какие функции требуют оплаты</x:v>
      </x:c>
      <x:c r="K110" s="2" t="str">
        <x:v>нет</x:v>
      </x:c>
      <x:c r="L110" s="2"/>
      <x:c r="M110" s="2"/>
      <x:c r="N110" s="2"/>
      <x:c r="O110" s="2"/>
    </x:row>
    <x:row r="111" ht="26" customHeight="1">
      <x:c r="A111" s="2" t="str">
        <x:v>R110</x:v>
      </x:c>
      <x:c r="B111" s="7" t="d">
        <x:v>2026-09-26T00:00:00.000Z</x:v>
      </x:c>
      <x:c r="C111" s="2" t="str">
        <x:v>Презентации</x:v>
      </x:c>
      <x:c r="D111" s="2" t="str">
        <x:v>пробовал</x:v>
      </x:c>
      <x:c r="E111" s="2" t="n">
        <x:v>2</x:v>
      </x:c>
      <x:c r="F111" s="2" t="str">
        <x:v>нет</x:v>
      </x:c>
      <x:c r="G111" s="2" t="str">
        <x:v>Не нашёл файл с примером после занятия. Для меня это новый инструмент. Задание 110.</x:v>
      </x:c>
      <x:c r="H111" s="2" t="str">
        <x:v>материалы</x:v>
      </x:c>
      <x:c r="I111" s="2" t="str">
        <x:v>отрицательная</x:v>
      </x:c>
      <x:c r="J111" s="2" t="str">
        <x:v>Не нашёл файл с примером после занятия</x:v>
      </x:c>
      <x:c r="K111" s="2" t="str">
        <x:v>нет</x:v>
      </x:c>
      <x:c r="L111" s="2"/>
      <x:c r="M111" s="2"/>
      <x:c r="N111" s="2"/>
      <x:c r="O111" s="2"/>
    </x:row>
    <x:row r="112" ht="26" customHeight="1">
      <x:c r="A112" s="2" t="str">
        <x:v>R111</x:v>
      </x:c>
      <x:c r="B112" s="7" t="d">
        <x:v>2026-09-27T00:00:00.000Z</x:v>
      </x:c>
      <x:c r="C112" s="2" t="str">
        <x:v>Поиск</x:v>
      </x:c>
      <x:c r="D112" s="2" t="str">
        <x:v>использую</x:v>
      </x:c>
      <x:c r="E112" s="2" t="n">
        <x:v>2</x:v>
      </x:c>
      <x:c r="F112" s="2" t="str">
        <x:v>нет</x:v>
      </x:c>
      <x:c r="G112" s="2" t="str">
        <x:v>Не было слышно часть объяснения. Для меня это новый инструмент. Задание 111.</x:v>
      </x:c>
      <x:c r="H112" s="2" t="str">
        <x:v>организация</x:v>
      </x:c>
      <x:c r="I112" s="2" t="str">
        <x:v>отрицательная</x:v>
      </x:c>
      <x:c r="J112" s="2" t="str">
        <x:v>Не было слышно часть объяснения</x:v>
      </x:c>
      <x:c r="K112" s="2" t="str">
        <x:v>нет</x:v>
      </x:c>
      <x:c r="L112" s="2"/>
      <x:c r="M112" s="2"/>
      <x:c r="N112" s="2"/>
      <x:c r="O112" s="2"/>
    </x:row>
    <x:row r="113" ht="26" customHeight="1">
      <x:c r="A113" s="2" t="str">
        <x:v>R112</x:v>
      </x:c>
      <x:c r="B113" s="7" t="d">
        <x:v>2026-09-28T00:00:00.000Z</x:v>
      </x:c>
      <x:c r="C113" s="2" t="str">
        <x:v>Таблицы</x:v>
      </x:c>
      <x:c r="D113" s="2" t="str">
        <x:v>с нуля</x:v>
      </x:c>
      <x:c r="E113" s="2" t="n">
        <x:v>3</x:v>
      </x:c>
      <x:c r="F113" s="2" t="str">
        <x:v>нет</x:v>
      </x:c>
      <x:c r="G113" s="2" t="str">
        <x:v>Нормально. Для меня это новый инструмент. Задание 112.</x:v>
      </x:c>
      <x:c r="H113" s="2" t="str">
        <x:v>другое</x:v>
      </x:c>
      <x:c r="I113" s="2" t="str">
        <x:v>нейтральная</x:v>
      </x:c>
      <x:c r="J113" s="2" t="str">
        <x:v>Нормально</x:v>
      </x:c>
      <x:c r="K113" s="2" t="str">
        <x:v>да</x:v>
      </x:c>
      <x:c r="L113" s="2"/>
      <x:c r="M113" s="2"/>
      <x:c r="N113" s="2"/>
      <x:c r="O113" s="2"/>
    </x:row>
    <x:row r="114" ht="26" customHeight="1">
      <x:c r="A114" s="2" t="str">
        <x:v>R113</x:v>
      </x:c>
      <x:c r="B114" s="7" t="d">
        <x:v>2026-09-01T00:00:00.000Z</x:v>
      </x:c>
      <x:c r="C114" s="2" t="str">
        <x:v>Письма</x:v>
      </x:c>
      <x:c r="D114" s="2" t="str">
        <x:v>пробовал</x:v>
      </x:c>
      <x:c r="E114" s="2" t="n">
        <x:v>3</x:v>
      </x:c>
      <x:c r="F114" s="2" t="str">
        <x:v>нет</x:v>
      </x:c>
      <x:c r="G114" s="2" t="str">
        <x:v>Термины объяснили понятно, но часть шагов осталась неясной. Для меня это новый инструмент. Задание 113.</x:v>
      </x:c>
      <x:c r="H114" s="2" t="str">
        <x:v>понятность</x:v>
      </x:c>
      <x:c r="I114" s="2" t="str">
        <x:v>смешанная</x:v>
      </x:c>
      <x:c r="J114" s="2" t="str">
        <x:v>Термины объяснили понятно, но часть шагов осталась неясной</x:v>
      </x:c>
      <x:c r="K114" s="2" t="str">
        <x:v>да</x:v>
      </x:c>
      <x:c r="L114" s="2"/>
      <x:c r="M114" s="2"/>
      <x:c r="N114" s="2"/>
      <x:c r="O114" s="2"/>
    </x:row>
    <x:row r="115" ht="26" customHeight="1">
      <x:c r="A115" s="2" t="str">
        <x:v>R114</x:v>
      </x:c>
      <x:c r="B115" s="7" t="d">
        <x:v>2026-09-02T00:00:00.000Z</x:v>
      </x:c>
      <x:c r="C115" s="2" t="str">
        <x:v>Презентации</x:v>
      </x:c>
      <x:c r="D115" s="2" t="str">
        <x:v>использую</x:v>
      </x:c>
      <x:c r="E115" s="2" t="n">
        <x:v>3</x:v>
      </x:c>
      <x:c r="F115" s="2" t="str">
        <x:v>нет</x:v>
      </x:c>
      <x:c r="G115" s="2" t="str">
        <x:v>Начало шло спокойно, а конец был слишком быстрым. Для меня это новый инструмент. Задание 114.</x:v>
      </x:c>
      <x:c r="H115" s="2" t="str">
        <x:v>темп</x:v>
      </x:c>
      <x:c r="I115" s="2" t="str">
        <x:v>смешанная</x:v>
      </x:c>
      <x:c r="J115" s="2" t="str">
        <x:v>Начало шло спокойно, а конец был слишком быстрым</x:v>
      </x:c>
      <x:c r="K115" s="2" t="str">
        <x:v>да</x:v>
      </x:c>
      <x:c r="L115" s="2"/>
      <x:c r="M115" s="2"/>
      <x:c r="N115" s="2"/>
      <x:c r="O115" s="2"/>
    </x:row>
    <x:row r="116" ht="26" customHeight="1">
      <x:c r="A116" s="2" t="str">
        <x:v>R115</x:v>
      </x:c>
      <x:c r="B116" s="7" t="d">
        <x:v>2026-09-03T00:00:00.000Z</x:v>
      </x:c>
      <x:c r="C116" s="2" t="str">
        <x:v>Поиск</x:v>
      </x:c>
      <x:c r="D116" s="2" t="str">
        <x:v>с нуля</x:v>
      </x:c>
      <x:c r="E116" s="2" t="n">
        <x:v>4</x:v>
      </x:c>
      <x:c r="F116" s="2" t="str">
        <x:v>да</x:v>
      </x:c>
      <x:c r="G116" s="2" t="str">
        <x:v>Примеры полезные, но хочу задание для своей работы. Для меня это новый инструмент. Задание 115.</x:v>
      </x:c>
      <x:c r="H116" s="2" t="str">
        <x:v>практика</x:v>
      </x:c>
      <x:c r="I116" s="2" t="str">
        <x:v>смешанная</x:v>
      </x:c>
      <x:c r="J116" s="2" t="str">
        <x:v>Примеры полезные, но хочу задание для своей работы</x:v>
      </x:c>
      <x:c r="K116" s="2" t="str">
        <x:v>да</x:v>
      </x:c>
      <x:c r="L116" s="2"/>
      <x:c r="M116" s="2"/>
      <x:c r="N116" s="2"/>
      <x:c r="O116" s="2"/>
    </x:row>
    <x:row r="117" ht="26" customHeight="1">
      <x:c r="A117" s="2" t="str">
        <x:v>R116</x:v>
      </x:c>
      <x:c r="B117" s="7" t="d">
        <x:v>2026-09-04T00:00:00.000Z</x:v>
      </x:c>
      <x:c r="C117" s="2" t="str">
        <x:v>Таблицы</x:v>
      </x:c>
      <x:c r="D117" s="2" t="str">
        <x:v>пробовал</x:v>
      </x:c>
      <x:c r="E117" s="2" t="n">
        <x:v>4</x:v>
      </x:c>
      <x:c r="F117" s="2" t="str">
        <x:v>да</x:v>
      </x:c>
      <x:c r="G117" s="2" t="str">
        <x:v>Сначала не смог войти, потом помог резервный способ. Для меня это новый инструмент. Задание 116.</x:v>
      </x:c>
      <x:c r="H117" s="2" t="str">
        <x:v>доступ к сервисам</x:v>
      </x:c>
      <x:c r="I117" s="2" t="str">
        <x:v>смешанная</x:v>
      </x:c>
      <x:c r="J117" s="2" t="str">
        <x:v>Сначала не смог войти, потом помог резервный способ</x:v>
      </x:c>
      <x:c r="K117" s="2" t="str">
        <x:v>да</x:v>
      </x:c>
      <x:c r="L117" s="2"/>
      <x:c r="M117" s="2"/>
      <x:c r="N117" s="2"/>
      <x:c r="O117" s="2"/>
    </x:row>
    <x:row r="118" ht="26" customHeight="1">
      <x:c r="A118" s="2" t="str">
        <x:v>R117</x:v>
      </x:c>
      <x:c r="B118" s="7" t="d">
        <x:v>2026-09-05T00:00:00.000Z</x:v>
      </x:c>
      <x:c r="C118" s="2" t="str">
        <x:v>Письма</x:v>
      </x:c>
      <x:c r="D118" s="2" t="str">
        <x:v>использую</x:v>
      </x:c>
      <x:c r="E118" s="2" t="n">
        <x:v>3</x:v>
      </x:c>
      <x:c r="F118" s="2" t="str">
        <x:v>нет</x:v>
      </x:c>
      <x:c r="G118" s="2" t="str">
        <x:v>Бесплатного режима хватило для примера, но дальше есть ограничения. Для меня это новый инструмент. Задание 117.</x:v>
      </x:c>
      <x:c r="H118" s="2" t="str">
        <x:v>стоимость сервисов</x:v>
      </x:c>
      <x:c r="I118" s="2" t="str">
        <x:v>смешанная</x:v>
      </x:c>
      <x:c r="J118" s="2" t="str">
        <x:v>Бесплатного режима хватило для примера, но дальше есть ограничения</x:v>
      </x:c>
      <x:c r="K118" s="2" t="str">
        <x:v>да</x:v>
      </x:c>
      <x:c r="L118" s="2"/>
      <x:c r="M118" s="2"/>
      <x:c r="N118" s="2"/>
      <x:c r="O118" s="2"/>
    </x:row>
    <x:row r="119" ht="26" customHeight="1">
      <x:c r="A119" s="2" t="str">
        <x:v>R118</x:v>
      </x:c>
      <x:c r="B119" s="7" t="d">
        <x:v>2026-09-06T00:00:00.000Z</x:v>
      </x:c>
      <x:c r="C119" s="2" t="str">
        <x:v>Презентации</x:v>
      </x:c>
      <x:c r="D119" s="2" t="str">
        <x:v>с нуля</x:v>
      </x:c>
      <x:c r="E119" s="2" t="n">
        <x:v>4</x:v>
      </x:c>
      <x:c r="F119" s="2" t="str">
        <x:v>да</x:v>
      </x:c>
      <x:c r="G119" s="2" t="str">
        <x:v>Запись полезная, хотелось бы добавить таймкоды. Для меня это новый инструмент. Задание 118.</x:v>
      </x:c>
      <x:c r="H119" s="2" t="str">
        <x:v>материалы</x:v>
      </x:c>
      <x:c r="I119" s="2" t="str">
        <x:v>смешанная</x:v>
      </x:c>
      <x:c r="J119" s="2" t="str">
        <x:v>Запись полезная, хотелось бы добавить таймкоды</x:v>
      </x:c>
      <x:c r="K119" s="2" t="str">
        <x:v>да</x:v>
      </x:c>
      <x:c r="L119" s="2"/>
      <x:c r="M119" s="2"/>
      <x:c r="N119" s="2"/>
      <x:c r="O119" s="2"/>
    </x:row>
    <x:row r="120" ht="26" customHeight="1">
      <x:c r="A120" s="2" t="str">
        <x:v>R119</x:v>
      </x:c>
      <x:c r="B120" s="7" t="d">
        <x:v>2026-09-07T00:00:00.000Z</x:v>
      </x:c>
      <x:c r="C120" s="2" t="str">
        <x:v>Поиск</x:v>
      </x:c>
      <x:c r="D120" s="2" t="str">
        <x:v>пробовал</x:v>
      </x:c>
      <x:c r="E120" s="2" t="n">
        <x:v>3</x:v>
      </x:c>
      <x:c r="F120" s="2" t="str">
        <x:v>нет</x:v>
      </x:c>
      <x:c r="G120" s="2" t="str">
        <x:v>Подключился легко, но вопросы в чате остались без ответа. Для меня это новый инструмент. Задание 119.</x:v>
      </x:c>
      <x:c r="H120" s="2" t="str">
        <x:v>организация</x:v>
      </x:c>
      <x:c r="I120" s="2" t="str">
        <x:v>смешанная</x:v>
      </x:c>
      <x:c r="J120" s="2" t="str">
        <x:v>Подключился легко, но вопросы в чате остались без ответа</x:v>
      </x:c>
      <x:c r="K120" s="2" t="str">
        <x:v>да</x:v>
      </x:c>
      <x:c r="L120" s="2"/>
      <x:c r="M120" s="2"/>
      <x:c r="N120" s="2"/>
      <x:c r="O120" s="2"/>
    </x:row>
    <x:row r="121" ht="26" customHeight="1">
      <x:c r="A121" s="2" t="str">
        <x:v>R120</x:v>
      </x:c>
      <x:c r="B121" s="7" t="d">
        <x:v>2026-09-08T00:00:00.000Z</x:v>
      </x:c>
      <x:c r="C121" s="2" t="str">
        <x:v>Таблицы</x:v>
      </x:c>
      <x:c r="D121" s="2" t="str">
        <x:v>использую</x:v>
      </x:c>
      <x:c r="E121" s="2" t="n">
        <x:v>3</x:v>
      </x:c>
      <x:c r="F121" s="2" t="str">
        <x:v>нет</x:v>
      </x:c>
      <x:c r="G121" s="2" t="str">
        <x:v>Пока не решил, где буду это применять. Для меня это новый инструмент. Задание 120.</x:v>
      </x:c>
      <x:c r="H121" s="2" t="str">
        <x:v>другое</x:v>
      </x:c>
      <x:c r="I121" s="2" t="str">
        <x:v>нейтральная</x:v>
      </x:c>
      <x:c r="J121" s="2" t="str">
        <x:v>Пока не решил, где буду это применять</x:v>
      </x:c>
      <x:c r="K121" s="2" t="str">
        <x:v>да</x:v>
      </x:c>
      <x:c r="L121" s="2"/>
      <x:c r="M121" s="2"/>
      <x:c r="N121" s="2"/>
      <x:c r="O121" s="2"/>
    </x:row>
    <x:row r="122" ht="26" customHeight="1">
      <x:c r="A122" s="2" t="str">
        <x:v>R121</x:v>
      </x:c>
      <x:c r="B122" s="7" t="d">
        <x:v>2026-09-09T00:00:00.000Z</x:v>
      </x:c>
      <x:c r="C122" s="2" t="str">
        <x:v>Письма</x:v>
      </x:c>
      <x:c r="D122" s="2" t="str">
        <x:v>с нуля</x:v>
      </x:c>
      <x:c r="E122" s="2" t="n">
        <x:v>5</x:v>
      </x:c>
      <x:c r="F122" s="2" t="str">
        <x:v>да</x:v>
      </x:c>
      <x:c r="G122" s="2" t="str">
        <x:v>Объяснение стало понятным после примера. Хочу вернуться к этому примеру. Задание 121.</x:v>
      </x:c>
      <x:c r="H122" s="2" t="str">
        <x:v>понятность</x:v>
      </x:c>
      <x:c r="I122" s="2" t="str">
        <x:v>положительная</x:v>
      </x:c>
      <x:c r="J122" s="2" t="str">
        <x:v>Объяснение стало понятным после примера</x:v>
      </x:c>
      <x:c r="K122" s="2" t="str">
        <x:v>нет</x:v>
      </x:c>
      <x:c r="L122" s="2"/>
      <x:c r="M122" s="2"/>
      <x:c r="N122" s="2"/>
      <x:c r="O122" s="2"/>
    </x:row>
    <x:row r="123" ht="26" customHeight="1">
      <x:c r="A123" s="2" t="str">
        <x:v>R122</x:v>
      </x:c>
      <x:c r="B123" s="7" t="d">
        <x:v>2026-09-10T00:00:00.000Z</x:v>
      </x:c>
      <x:c r="C123" s="2" t="str">
        <x:v>Презентации</x:v>
      </x:c>
      <x:c r="D123" s="2" t="str">
        <x:v>пробовал</x:v>
      </x:c>
      <x:c r="E123" s="2" t="n">
        <x:v>5</x:v>
      </x:c>
      <x:c r="F123" s="2" t="str">
        <x:v>да</x:v>
      </x:c>
      <x:c r="G123" s="2" t="str">
        <x:v>Успевал повторять действия на экране. Хочу вернуться к этому примеру. Задание 122.</x:v>
      </x:c>
      <x:c r="H123" s="2" t="str">
        <x:v>темп</x:v>
      </x:c>
      <x:c r="I123" s="2" t="str">
        <x:v>положительная</x:v>
      </x:c>
      <x:c r="J123" s="2" t="str">
        <x:v>Успевал повторять действия на экране</x:v>
      </x:c>
      <x:c r="K123" s="2" t="str">
        <x:v>нет</x:v>
      </x:c>
      <x:c r="L123" s="2"/>
      <x:c r="M123" s="2"/>
      <x:c r="N123" s="2"/>
      <x:c r="O123" s="2"/>
    </x:row>
    <x:row r="124" ht="26" customHeight="1">
      <x:c r="A124" s="2" t="str">
        <x:v>R123</x:v>
      </x:c>
      <x:c r="B124" s="7" t="d">
        <x:v>2026-09-11T00:00:00.000Z</x:v>
      </x:c>
      <x:c r="C124" s="2" t="str">
        <x:v>Поиск</x:v>
      </x:c>
      <x:c r="D124" s="2" t="str">
        <x:v>использую</x:v>
      </x:c>
      <x:c r="E124" s="2" t="n">
        <x:v>5</x:v>
      </x:c>
      <x:c r="F124" s="2" t="str">
        <x:v>да</x:v>
      </x:c>
      <x:c r="G124" s="2" t="str">
        <x:v>Сам сделал письмо клиенту по образцу. Хочу вернуться к этому примеру. Задание 123.</x:v>
      </x:c>
      <x:c r="H124" s="2" t="str">
        <x:v>практика</x:v>
      </x:c>
      <x:c r="I124" s="2" t="str">
        <x:v>положительная</x:v>
      </x:c>
      <x:c r="J124" s="2" t="str">
        <x:v>Сам сделал письмо клиенту по образцу</x:v>
      </x:c>
      <x:c r="K124" s="2" t="str">
        <x:v>нет</x:v>
      </x:c>
      <x:c r="L124" s="2"/>
      <x:c r="M124" s="2"/>
      <x:c r="N124" s="2"/>
      <x:c r="O124" s="2"/>
    </x:row>
    <x:row r="125" ht="26" customHeight="1">
      <x:c r="A125" s="2" t="str">
        <x:v>R124</x:v>
      </x:c>
      <x:c r="B125" s="7" t="d">
        <x:v>2026-09-12T00:00:00.000Z</x:v>
      </x:c>
      <x:c r="C125" s="2" t="str">
        <x:v>Таблицы</x:v>
      </x:c>
      <x:c r="D125" s="2" t="str">
        <x:v>с нуля</x:v>
      </x:c>
      <x:c r="E125" s="2" t="n">
        <x:v>5</x:v>
      </x:c>
      <x:c r="F125" s="2" t="str">
        <x:v>да</x:v>
      </x:c>
      <x:c r="G125" s="2" t="str">
        <x:v>Получилось войти в сервис и выполнить задание. Хочу вернуться к этому примеру. Задание 124.</x:v>
      </x:c>
      <x:c r="H125" s="2" t="str">
        <x:v>доступ к сервисам</x:v>
      </x:c>
      <x:c r="I125" s="2" t="str">
        <x:v>положительная</x:v>
      </x:c>
      <x:c r="J125" s="2" t="str">
        <x:v>Получилось войти в сервис и выполнить задание</x:v>
      </x:c>
      <x:c r="K125" s="2" t="str">
        <x:v>нет</x:v>
      </x:c>
      <x:c r="L125" s="2"/>
      <x:c r="M125" s="2"/>
      <x:c r="N125" s="2"/>
      <x:c r="O125" s="2"/>
    </x:row>
    <x:row r="126" ht="26" customHeight="1">
      <x:c r="A126" s="2" t="str">
        <x:v>R125</x:v>
      </x:c>
      <x:c r="B126" s="7" t="d">
        <x:v>2026-09-13T00:00:00.000Z</x:v>
      </x:c>
      <x:c r="C126" s="2" t="str">
        <x:v>Письма</x:v>
      </x:c>
      <x:c r="D126" s="2" t="str">
        <x:v>пробовал</x:v>
      </x:c>
      <x:c r="E126" s="2" t="n">
        <x:v>5</x:v>
      </x:c>
      <x:c r="F126" s="2" t="str">
        <x:v>да</x:v>
      </x:c>
      <x:c r="G126" s="2" t="str">
        <x:v>Нашёл подходящий бесплатный инструмент. Хочу вернуться к этому примеру. Задание 125.</x:v>
      </x:c>
      <x:c r="H126" s="2" t="str">
        <x:v>стоимость сервисов</x:v>
      </x:c>
      <x:c r="I126" s="2" t="str">
        <x:v>положительная</x:v>
      </x:c>
      <x:c r="J126" s="2" t="str">
        <x:v>Нашёл подходящий бесплатный инструмент</x:v>
      </x:c>
      <x:c r="K126" s="2" t="str">
        <x:v>нет</x:v>
      </x:c>
      <x:c r="L126" s="2"/>
      <x:c r="M126" s="2"/>
      <x:c r="N126" s="2"/>
      <x:c r="O126" s="2"/>
    </x:row>
    <x:row r="127" ht="26" customHeight="1">
      <x:c r="A127" s="2" t="str">
        <x:v>R126</x:v>
      </x:c>
      <x:c r="B127" s="7" t="d">
        <x:v>2026-09-14T00:00:00.000Z</x:v>
      </x:c>
      <x:c r="C127" s="2" t="str">
        <x:v>Презентации</x:v>
      </x:c>
      <x:c r="D127" s="2" t="str">
        <x:v>использую</x:v>
      </x:c>
      <x:c r="E127" s="2" t="n">
        <x:v>5</x:v>
      </x:c>
      <x:c r="F127" s="2" t="str">
        <x:v>да</x:v>
      </x:c>
      <x:c r="G127" s="2" t="str">
        <x:v>Сохранил памятку и повторил по ней шаги. Хочу вернуться к этому примеру. Задание 126.</x:v>
      </x:c>
      <x:c r="H127" s="2" t="str">
        <x:v>материалы</x:v>
      </x:c>
      <x:c r="I127" s="2" t="str">
        <x:v>положительная</x:v>
      </x:c>
      <x:c r="J127" s="2" t="str">
        <x:v>Сохранил памятку и повторил по ней шаги</x:v>
      </x:c>
      <x:c r="K127" s="2" t="str">
        <x:v>нет</x:v>
      </x:c>
      <x:c r="L127" s="2"/>
      <x:c r="M127" s="2"/>
      <x:c r="N127" s="2"/>
      <x:c r="O127" s="2"/>
    </x:row>
    <x:row r="128" ht="26" customHeight="1">
      <x:c r="A128" s="2" t="str">
        <x:v>R127</x:v>
      </x:c>
      <x:c r="B128" s="7" t="d">
        <x:v>2026-09-15T00:00:00.000Z</x:v>
      </x:c>
      <x:c r="C128" s="2" t="str">
        <x:v>Поиск</x:v>
      </x:c>
      <x:c r="D128" s="2" t="str">
        <x:v>с нуля</x:v>
      </x:c>
      <x:c r="E128" s="2" t="n">
        <x:v>5</x:v>
      </x:c>
      <x:c r="F128" s="2" t="str">
        <x:v>да</x:v>
      </x:c>
      <x:c r="G128" s="2" t="str">
        <x:v>Ссылка пришла вовремя, звук был хороший. Хочу вернуться к этому примеру. Задание 127.</x:v>
      </x:c>
      <x:c r="H128" s="2" t="str">
        <x:v>организация</x:v>
      </x:c>
      <x:c r="I128" s="2" t="str">
        <x:v>положительная</x:v>
      </x:c>
      <x:c r="J128" s="2" t="str">
        <x:v>Ссылка пришла вовремя, звук был хороший</x:v>
      </x:c>
      <x:c r="K128" s="2" t="str">
        <x:v>нет</x:v>
      </x:c>
      <x:c r="L128" s="2"/>
      <x:c r="M128" s="2"/>
      <x:c r="N128" s="2"/>
      <x:c r="O128" s="2"/>
    </x:row>
    <x:row r="129" ht="26" customHeight="1">
      <x:c r="A129" s="2" t="str">
        <x:v>R128</x:v>
      </x:c>
      <x:c r="B129" s="7" t="d">
        <x:v>2026-09-16T00:00:00.000Z</x:v>
      </x:c>
      <x:c r="C129" s="2" t="str">
        <x:v>Таблицы</x:v>
      </x:c>
      <x:c r="D129" s="2" t="str">
        <x:v>пробовал</x:v>
      </x:c>
      <x:c r="E129" s="2" t="n">
        <x:v>5</x:v>
      </x:c>
      <x:c r="F129" s="2" t="str">
        <x:v>да</x:v>
      </x:c>
      <x:c r="G129" s="2" t="str">
        <x:v>Спасибо за занятие. Хочу вернуться к этому примеру. Задание 128.</x:v>
      </x:c>
      <x:c r="H129" s="2" t="str">
        <x:v>другое</x:v>
      </x:c>
      <x:c r="I129" s="2" t="str">
        <x:v>положительная</x:v>
      </x:c>
      <x:c r="J129" s="2" t="str">
        <x:v>Спасибо за занятие</x:v>
      </x:c>
      <x:c r="K129" s="2" t="str">
        <x:v>нет</x:v>
      </x:c>
      <x:c r="L129" s="2"/>
      <x:c r="M129" s="2"/>
      <x:c r="N129" s="2"/>
      <x:c r="O129" s="2"/>
    </x:row>
    <x:row r="130" ht="26" customHeight="1">
      <x:c r="A130" s="2" t="str">
        <x:v>R129</x:v>
      </x:c>
      <x:c r="B130" s="7" t="d">
        <x:v>2026-09-17T00:00:00.000Z</x:v>
      </x:c>
      <x:c r="C130" s="2" t="str">
        <x:v>Письма</x:v>
      </x:c>
      <x:c r="D130" s="2" t="str">
        <x:v>использую</x:v>
      </x:c>
      <x:c r="E130" s="2" t="n">
        <x:v>2</x:v>
      </x:c>
      <x:c r="F130" s="2" t="str">
        <x:v>нет</x:v>
      </x:c>
      <x:c r="G130" s="2" t="str">
        <x:v>Не понял разницу между задачей и запросом. Хочу вернуться к этому примеру. Задание 129.</x:v>
      </x:c>
      <x:c r="H130" s="2" t="str">
        <x:v>понятность</x:v>
      </x:c>
      <x:c r="I130" s="2" t="str">
        <x:v>отрицательная</x:v>
      </x:c>
      <x:c r="J130" s="2" t="str">
        <x:v>Не понял разницу между задачей и запросом</x:v>
      </x:c>
      <x:c r="K130" s="2" t="str">
        <x:v>нет</x:v>
      </x:c>
      <x:c r="L130" s="2"/>
      <x:c r="M130" s="2"/>
      <x:c r="N130" s="2"/>
      <x:c r="O130" s="2"/>
    </x:row>
    <x:row r="131" ht="26" customHeight="1">
      <x:c r="A131" s="2" t="str">
        <x:v>R130</x:v>
      </x:c>
      <x:c r="B131" s="7" t="d">
        <x:v>2026-09-18T00:00:00.000Z</x:v>
      </x:c>
      <x:c r="C131" s="2" t="str">
        <x:v>Презентации</x:v>
      </x:c>
      <x:c r="D131" s="2" t="str">
        <x:v>с нуля</x:v>
      </x:c>
      <x:c r="E131" s="2" t="n">
        <x:v>2</x:v>
      </x:c>
      <x:c r="F131" s="2" t="str">
        <x:v>нет</x:v>
      </x:c>
      <x:c r="G131" s="2" t="str">
        <x:v>Слишком быстро переключались между окнами. Хочу вернуться к этому примеру. Задание 130.</x:v>
      </x:c>
      <x:c r="H131" s="2" t="str">
        <x:v>темп</x:v>
      </x:c>
      <x:c r="I131" s="2" t="str">
        <x:v>отрицательная</x:v>
      </x:c>
      <x:c r="J131" s="2" t="str">
        <x:v>Слишком быстро переключались между окнами</x:v>
      </x:c>
      <x:c r="K131" s="2" t="str">
        <x:v>нет</x:v>
      </x:c>
      <x:c r="L131" s="2"/>
      <x:c r="M131" s="2"/>
      <x:c r="N131" s="2"/>
      <x:c r="O131" s="2"/>
    </x:row>
    <x:row r="132" ht="26" customHeight="1">
      <x:c r="A132" s="2" t="str">
        <x:v>R131</x:v>
      </x:c>
      <x:c r="B132" s="7" t="d">
        <x:v>2026-09-19T00:00:00.000Z</x:v>
      </x:c>
      <x:c r="C132" s="2" t="str">
        <x:v>Поиск</x:v>
      </x:c>
      <x:c r="D132" s="2" t="str">
        <x:v>пробовал</x:v>
      </x:c>
      <x:c r="E132" s="2" t="n">
        <x:v>2</x:v>
      </x:c>
      <x:c r="F132" s="2" t="str">
        <x:v>нет</x:v>
      </x:c>
      <x:c r="G132" s="2" t="str">
        <x:v>Не хватило самостоятельной практики. Хочу вернуться к этому примеру. Задание 131.</x:v>
      </x:c>
      <x:c r="H132" s="2" t="str">
        <x:v>практика</x:v>
      </x:c>
      <x:c r="I132" s="2" t="str">
        <x:v>отрицательная</x:v>
      </x:c>
      <x:c r="J132" s="2" t="str">
        <x:v>Не хватило самостоятельной практики</x:v>
      </x:c>
      <x:c r="K132" s="2" t="str">
        <x:v>нет</x:v>
      </x:c>
      <x:c r="L132" s="2"/>
      <x:c r="M132" s="2"/>
      <x:c r="N132" s="2"/>
      <x:c r="O132" s="2"/>
    </x:row>
    <x:row r="133" ht="26" customHeight="1">
      <x:c r="A133" s="2" t="str">
        <x:v>R132</x:v>
      </x:c>
      <x:c r="B133" s="7" t="d">
        <x:v>2026-09-20T00:00:00.000Z</x:v>
      </x:c>
      <x:c r="C133" s="2" t="str">
        <x:v>Таблицы</x:v>
      </x:c>
      <x:c r="D133" s="2" t="str">
        <x:v>использую</x:v>
      </x:c>
      <x:c r="E133" s="2" t="n">
        <x:v>2</x:v>
      </x:c>
      <x:c r="F133" s="2" t="str">
        <x:v>нет</x:v>
      </x:c>
      <x:c r="G133" s="2" t="str">
        <x:v>Не удалось зарегистрироваться в сервисе. Хочу вернуться к этому примеру. Задание 132.</x:v>
      </x:c>
      <x:c r="H133" s="2" t="str">
        <x:v>доступ к сервисам</x:v>
      </x:c>
      <x:c r="I133" s="2" t="str">
        <x:v>отрицательная</x:v>
      </x:c>
      <x:c r="J133" s="2" t="str">
        <x:v>Не удалось зарегистрироваться в сервисе</x:v>
      </x:c>
      <x:c r="K133" s="2" t="str">
        <x:v>нет</x:v>
      </x:c>
      <x:c r="L133" s="2"/>
      <x:c r="M133" s="2"/>
      <x:c r="N133" s="2"/>
      <x:c r="O133" s="2"/>
    </x:row>
    <x:row r="134" ht="26" customHeight="1">
      <x:c r="A134" s="2" t="str">
        <x:v>R133</x:v>
      </x:c>
      <x:c r="B134" s="7" t="d">
        <x:v>2026-09-21T00:00:00.000Z</x:v>
      </x:c>
      <x:c r="C134" s="2" t="str">
        <x:v>Письма</x:v>
      </x:c>
      <x:c r="D134" s="2" t="str">
        <x:v>с нуля</x:v>
      </x:c>
      <x:c r="E134" s="2" t="n">
        <x:v>0</x:v>
      </x:c>
      <x:c r="F134" s="2" t="str">
        <x:v>нет</x:v>
      </x:c>
      <x:c r="G134" s="2" t="str">
        <x:v>Непонятно, какие функции требуют оплаты. Хочу вернуться к этому примеру. Задание 133.</x:v>
      </x:c>
      <x:c r="H134" s="2" t="str">
        <x:v>стоимость сервисов</x:v>
      </x:c>
      <x:c r="I134" s="2" t="str">
        <x:v>отрицательная</x:v>
      </x:c>
      <x:c r="J134" s="2" t="str">
        <x:v>Непонятно, какие функции требуют оплаты</x:v>
      </x:c>
      <x:c r="K134" s="2" t="str">
        <x:v>нет</x:v>
      </x:c>
      <x:c r="L134" s="2"/>
      <x:c r="M134" s="2"/>
      <x:c r="N134" s="2"/>
      <x:c r="O134" s="2"/>
    </x:row>
    <x:row r="135" ht="26" customHeight="1">
      <x:c r="A135" s="2" t="str">
        <x:v>R134</x:v>
      </x:c>
      <x:c r="B135" s="7" t="d">
        <x:v>2026-09-22T00:00:00.000Z</x:v>
      </x:c>
      <x:c r="C135" s="2" t="str">
        <x:v>Презентации</x:v>
      </x:c>
      <x:c r="D135" s="2" t="str">
        <x:v>пробовал</x:v>
      </x:c>
      <x:c r="E135" s="2" t="n">
        <x:v>2</x:v>
      </x:c>
      <x:c r="F135" s="2" t="str">
        <x:v>нет</x:v>
      </x:c>
      <x:c r="G135" s="2" t="str">
        <x:v>Не нашёл файл с примером после занятия. Хочу вернуться к этому примеру. Задание 134.</x:v>
      </x:c>
      <x:c r="H135" s="2" t="str">
        <x:v>материалы</x:v>
      </x:c>
      <x:c r="I135" s="2" t="str">
        <x:v>отрицательная</x:v>
      </x:c>
      <x:c r="J135" s="2" t="str">
        <x:v>Не нашёл файл с примером после занятия</x:v>
      </x:c>
      <x:c r="K135" s="2" t="str">
        <x:v>нет</x:v>
      </x:c>
      <x:c r="L135" s="2"/>
      <x:c r="M135" s="2"/>
      <x:c r="N135" s="2"/>
      <x:c r="O135" s="2"/>
    </x:row>
    <x:row r="136" ht="26" customHeight="1">
      <x:c r="A136" s="2" t="str">
        <x:v>R135</x:v>
      </x:c>
      <x:c r="B136" s="7" t="d">
        <x:v>2026-09-23T00:00:00.000Z</x:v>
      </x:c>
      <x:c r="C136" s="2" t="str">
        <x:v>Поиск</x:v>
      </x:c>
      <x:c r="D136" s="2" t="str">
        <x:v>использую</x:v>
      </x:c>
      <x:c r="E136" s="2" t="n">
        <x:v>2</x:v>
      </x:c>
      <x:c r="F136" s="2" t="str">
        <x:v>нет</x:v>
      </x:c>
      <x:c r="G136" s="2" t="str">
        <x:v>Не было слышно часть объяснения. Хочу вернуться к этому примеру. Задание 135.</x:v>
      </x:c>
      <x:c r="H136" s="2" t="str">
        <x:v>организация</x:v>
      </x:c>
      <x:c r="I136" s="2" t="str">
        <x:v>отрицательная</x:v>
      </x:c>
      <x:c r="J136" s="2" t="str">
        <x:v>Не было слышно часть объяснения</x:v>
      </x:c>
      <x:c r="K136" s="2" t="str">
        <x:v>нет</x:v>
      </x:c>
      <x:c r="L136" s="2"/>
      <x:c r="M136" s="2"/>
      <x:c r="N136" s="2"/>
      <x:c r="O136" s="2"/>
    </x:row>
    <x:row r="137" ht="26" customHeight="1">
      <x:c r="A137" s="2" t="str">
        <x:v>R136</x:v>
      </x:c>
      <x:c r="B137" s="7" t="d">
        <x:v>2026-09-24T00:00:00.000Z</x:v>
      </x:c>
      <x:c r="C137" s="2" t="str">
        <x:v>Таблицы</x:v>
      </x:c>
      <x:c r="D137" s="2" t="str">
        <x:v>с нуля</x:v>
      </x:c>
      <x:c r="E137" s="2" t="n">
        <x:v>3</x:v>
      </x:c>
      <x:c r="F137" s="2" t="str">
        <x:v>нет</x:v>
      </x:c>
      <x:c r="G137" s="2" t="str">
        <x:v>Нормально. Хочу вернуться к этому примеру. Задание 136.</x:v>
      </x:c>
      <x:c r="H137" s="2" t="str">
        <x:v>другое</x:v>
      </x:c>
      <x:c r="I137" s="2" t="str">
        <x:v>нейтральная</x:v>
      </x:c>
      <x:c r="J137" s="2" t="str">
        <x:v>Нормально</x:v>
      </x:c>
      <x:c r="K137" s="2" t="str">
        <x:v>да</x:v>
      </x:c>
      <x:c r="L137" s="2"/>
      <x:c r="M137" s="2"/>
      <x:c r="N137" s="2"/>
      <x:c r="O137" s="2"/>
    </x:row>
    <x:row r="138" ht="26" customHeight="1">
      <x:c r="A138" s="2" t="str">
        <x:v>R137</x:v>
      </x:c>
      <x:c r="B138" s="7" t="d">
        <x:v>2026-09-25T00:00:00.000Z</x:v>
      </x:c>
      <x:c r="C138" s="2" t="str">
        <x:v>Письма</x:v>
      </x:c>
      <x:c r="D138" s="2" t="str">
        <x:v>пробовал</x:v>
      </x:c>
      <x:c r="E138" s="2" t="n">
        <x:v>3</x:v>
      </x:c>
      <x:c r="F138" s="2" t="str">
        <x:v>нет</x:v>
      </x:c>
      <x:c r="G138" s="2" t="str">
        <x:v>Термины объяснили понятно, но часть шагов осталась неясной. Хочу вернуться к этому примеру. Задание 137.</x:v>
      </x:c>
      <x:c r="H138" s="2" t="str">
        <x:v>понятность</x:v>
      </x:c>
      <x:c r="I138" s="2" t="str">
        <x:v>смешанная</x:v>
      </x:c>
      <x:c r="J138" s="2" t="str">
        <x:v>Термины объяснили понятно, но часть шагов осталась неясной</x:v>
      </x:c>
      <x:c r="K138" s="2" t="str">
        <x:v>да</x:v>
      </x:c>
      <x:c r="L138" s="2"/>
      <x:c r="M138" s="2"/>
      <x:c r="N138" s="2"/>
      <x:c r="O138" s="2"/>
    </x:row>
    <x:row r="139" ht="26" customHeight="1">
      <x:c r="A139" s="2" t="str">
        <x:v>R138</x:v>
      </x:c>
      <x:c r="B139" s="7" t="d">
        <x:v>2026-09-26T00:00:00.000Z</x:v>
      </x:c>
      <x:c r="C139" s="2" t="str">
        <x:v>Презентации</x:v>
      </x:c>
      <x:c r="D139" s="2" t="str">
        <x:v>использую</x:v>
      </x:c>
      <x:c r="E139" s="2" t="n">
        <x:v>3</x:v>
      </x:c>
      <x:c r="F139" s="2" t="str">
        <x:v>нет</x:v>
      </x:c>
      <x:c r="G139" s="2" t="str">
        <x:v>Начало шло спокойно, а конец был слишком быстрым. Хочу вернуться к этому примеру. Задание 138.</x:v>
      </x:c>
      <x:c r="H139" s="2" t="str">
        <x:v>темп</x:v>
      </x:c>
      <x:c r="I139" s="2" t="str">
        <x:v>смешанная</x:v>
      </x:c>
      <x:c r="J139" s="2" t="str">
        <x:v>Начало шло спокойно, а конец был слишком быстрым</x:v>
      </x:c>
      <x:c r="K139" s="2" t="str">
        <x:v>да</x:v>
      </x:c>
      <x:c r="L139" s="2"/>
      <x:c r="M139" s="2"/>
      <x:c r="N139" s="2"/>
      <x:c r="O139" s="2"/>
    </x:row>
    <x:row r="140" ht="26" customHeight="1">
      <x:c r="A140" s="2" t="str">
        <x:v>R139</x:v>
      </x:c>
      <x:c r="B140" s="7" t="d">
        <x:v>2026-09-27T00:00:00.000Z</x:v>
      </x:c>
      <x:c r="C140" s="2" t="str">
        <x:v>Поиск</x:v>
      </x:c>
      <x:c r="D140" s="2" t="str">
        <x:v>с нуля</x:v>
      </x:c>
      <x:c r="E140" s="2" t="n">
        <x:v>4</x:v>
      </x:c>
      <x:c r="F140" s="2" t="str">
        <x:v>да</x:v>
      </x:c>
      <x:c r="G140" s="2" t="str">
        <x:v>Примеры полезные, но хочу задание для своей работы. Хочу вернуться к этому примеру. Задание 139.</x:v>
      </x:c>
      <x:c r="H140" s="2" t="str">
        <x:v>практика</x:v>
      </x:c>
      <x:c r="I140" s="2" t="str">
        <x:v>смешанная</x:v>
      </x:c>
      <x:c r="J140" s="2" t="str">
        <x:v>Примеры полезные, но хочу задание для своей работы</x:v>
      </x:c>
      <x:c r="K140" s="2" t="str">
        <x:v>да</x:v>
      </x:c>
      <x:c r="L140" s="2"/>
      <x:c r="M140" s="2"/>
      <x:c r="N140" s="2"/>
      <x:c r="O140" s="2"/>
    </x:row>
    <x:row r="141" ht="26" customHeight="1">
      <x:c r="A141" s="2" t="str">
        <x:v>R140</x:v>
      </x:c>
      <x:c r="B141" s="7" t="d">
        <x:v>2026-09-28T00:00:00.000Z</x:v>
      </x:c>
      <x:c r="C141" s="2" t="str">
        <x:v>Таблицы</x:v>
      </x:c>
      <x:c r="D141" s="2" t="str">
        <x:v>пробовал</x:v>
      </x:c>
      <x:c r="E141" s="2" t="n">
        <x:v>4</x:v>
      </x:c>
      <x:c r="F141" s="2" t="str">
        <x:v>да</x:v>
      </x:c>
      <x:c r="G141" s="2" t="str">
        <x:v>Сначала не смог войти, потом помог резервный способ. Хочу вернуться к этому примеру. Задание 140.</x:v>
      </x:c>
      <x:c r="H141" s="2" t="str">
        <x:v>доступ к сервисам</x:v>
      </x:c>
      <x:c r="I141" s="2" t="str">
        <x:v>смешанная</x:v>
      </x:c>
      <x:c r="J141" s="2" t="str">
        <x:v>Сначала не смог войти, потом помог резервный способ</x:v>
      </x:c>
      <x:c r="K141" s="2" t="str">
        <x:v>да</x:v>
      </x:c>
      <x:c r="L141" s="2"/>
      <x:c r="M141" s="2"/>
      <x:c r="N141" s="2"/>
      <x:c r="O141" s="2"/>
    </x:row>
    <x:row r="142" ht="26" customHeight="1">
      <x:c r="A142" s="2" t="str">
        <x:v>R141</x:v>
      </x:c>
      <x:c r="B142" s="7" t="d">
        <x:v>2026-09-01T00:00:00.000Z</x:v>
      </x:c>
      <x:c r="C142" s="2" t="str">
        <x:v>Письма</x:v>
      </x:c>
      <x:c r="D142" s="2" t="str">
        <x:v>использую</x:v>
      </x:c>
      <x:c r="E142" s="2" t="n">
        <x:v>3</x:v>
      </x:c>
      <x:c r="F142" s="2" t="str">
        <x:v>нет</x:v>
      </x:c>
      <x:c r="G142" s="2" t="str">
        <x:v>Бесплатного режима хватило для примера, но дальше есть ограничения. Хочу вернуться к этому примеру. Задание 141.</x:v>
      </x:c>
      <x:c r="H142" s="2" t="str">
        <x:v>стоимость сервисов</x:v>
      </x:c>
      <x:c r="I142" s="2" t="str">
        <x:v>смешанная</x:v>
      </x:c>
      <x:c r="J142" s="2" t="str">
        <x:v>Бесплатного режима хватило для примера, но дальше есть ограничения</x:v>
      </x:c>
      <x:c r="K142" s="2" t="str">
        <x:v>да</x:v>
      </x:c>
      <x:c r="L142" s="2"/>
      <x:c r="M142" s="2"/>
      <x:c r="N142" s="2"/>
      <x:c r="O142" s="2"/>
    </x:row>
    <x:row r="143" ht="26" customHeight="1">
      <x:c r="A143" s="2" t="str">
        <x:v>R142</x:v>
      </x:c>
      <x:c r="B143" s="7" t="d">
        <x:v>2026-09-02T00:00:00.000Z</x:v>
      </x:c>
      <x:c r="C143" s="2" t="str">
        <x:v>Презентации</x:v>
      </x:c>
      <x:c r="D143" s="2" t="str">
        <x:v>с нуля</x:v>
      </x:c>
      <x:c r="E143" s="2" t="n">
        <x:v>4</x:v>
      </x:c>
      <x:c r="F143" s="2" t="str">
        <x:v>да</x:v>
      </x:c>
      <x:c r="G143" s="2" t="str">
        <x:v>Запись полезная, хотелось бы добавить таймкоды. Хочу вернуться к этому примеру. Задание 142.</x:v>
      </x:c>
      <x:c r="H143" s="2" t="str">
        <x:v>материалы</x:v>
      </x:c>
      <x:c r="I143" s="2" t="str">
        <x:v>смешанная</x:v>
      </x:c>
      <x:c r="J143" s="2" t="str">
        <x:v>Запись полезная, хотелось бы добавить таймкоды</x:v>
      </x:c>
      <x:c r="K143" s="2" t="str">
        <x:v>да</x:v>
      </x:c>
      <x:c r="L143" s="2"/>
      <x:c r="M143" s="2"/>
      <x:c r="N143" s="2"/>
      <x:c r="O143" s="2"/>
    </x:row>
    <x:row r="144" ht="26" customHeight="1">
      <x:c r="A144" s="2" t="str">
        <x:v>R143</x:v>
      </x:c>
      <x:c r="B144" s="7" t="d">
        <x:v>2026-09-03T00:00:00.000Z</x:v>
      </x:c>
      <x:c r="C144" s="2" t="str">
        <x:v>Поиск</x:v>
      </x:c>
      <x:c r="D144" s="2" t="str">
        <x:v>пробовал</x:v>
      </x:c>
      <x:c r="E144" s="2" t="n">
        <x:v>3</x:v>
      </x:c>
      <x:c r="F144" s="2" t="str">
        <x:v>нет</x:v>
      </x:c>
      <x:c r="G144" s="2" t="str">
        <x:v>Подключился легко, но вопросы в чате остались без ответа. Хочу вернуться к этому примеру. Задание 143.</x:v>
      </x:c>
      <x:c r="H144" s="2" t="str">
        <x:v>организация</x:v>
      </x:c>
      <x:c r="I144" s="2" t="str">
        <x:v>смешанная</x:v>
      </x:c>
      <x:c r="J144" s="2" t="str">
        <x:v>Подключился легко, но вопросы в чате остались без ответа</x:v>
      </x:c>
      <x:c r="K144" s="2" t="str">
        <x:v>да</x:v>
      </x:c>
      <x:c r="L144" s="2"/>
      <x:c r="M144" s="2"/>
      <x:c r="N144" s="2"/>
      <x:c r="O144" s="2"/>
    </x:row>
    <x:row r="145" ht="26" customHeight="1">
      <x:c r="A145" s="2" t="str">
        <x:v>R144</x:v>
      </x:c>
      <x:c r="B145" s="7" t="d">
        <x:v>2026-09-04T00:00:00.000Z</x:v>
      </x:c>
      <x:c r="C145" s="2" t="str">
        <x:v>Таблицы</x:v>
      </x:c>
      <x:c r="D145" s="2" t="str">
        <x:v>использую</x:v>
      </x:c>
      <x:c r="E145" s="2" t="n">
        <x:v>3</x:v>
      </x:c>
      <x:c r="F145" s="2" t="str">
        <x:v>нет</x:v>
      </x:c>
      <x:c r="G145" s="2" t="str">
        <x:v>Пока не решил, где буду это применять. Хочу вернуться к этому примеру. Задание 144.</x:v>
      </x:c>
      <x:c r="H145" s="2" t="str">
        <x:v>другое</x:v>
      </x:c>
      <x:c r="I145" s="2" t="str">
        <x:v>нейтральная</x:v>
      </x:c>
      <x:c r="J145" s="2" t="str">
        <x:v>Пока не решил, где буду это применять</x:v>
      </x:c>
      <x:c r="K145" s="2" t="str">
        <x:v>да</x:v>
      </x:c>
      <x:c r="L145" s="2"/>
      <x:c r="M145" s="2"/>
      <x:c r="N145" s="2"/>
      <x:c r="O145" s="2"/>
    </x:row>
    <x:row r="146" ht="26" customHeight="1">
      <x:c r="A146" s="2" t="str">
        <x:v>R145</x:v>
      </x:c>
      <x:c r="B146" s="7" t="d">
        <x:v>2026-09-05T00:00:00.000Z</x:v>
      </x:c>
      <x:c r="C146" s="2" t="str">
        <x:v>Письма</x:v>
      </x:c>
      <x:c r="D146" s="2" t="str">
        <x:v>с нуля</x:v>
      </x:c>
      <x:c r="E146" s="2" t="n">
        <x:v>5</x:v>
      </x:c>
      <x:c r="F146" s="2" t="str">
        <x:v>да</x:v>
      </x:c>
      <x:c r="G146" s="2" t="str">
        <x:v>Объяснение стало понятным после примера. Сравнил со своим прошлым способом. Задание 145.</x:v>
      </x:c>
      <x:c r="H146" s="2" t="str">
        <x:v>понятность</x:v>
      </x:c>
      <x:c r="I146" s="2" t="str">
        <x:v>положительная</x:v>
      </x:c>
      <x:c r="J146" s="2" t="str">
        <x:v>Объяснение стало понятным после примера</x:v>
      </x:c>
      <x:c r="K146" s="2" t="str">
        <x:v>нет</x:v>
      </x:c>
      <x:c r="L146" s="2"/>
      <x:c r="M146" s="2"/>
      <x:c r="N146" s="2"/>
      <x:c r="O146" s="2"/>
    </x:row>
    <x:row r="147" ht="26" customHeight="1">
      <x:c r="A147" s="2" t="str">
        <x:v>R146</x:v>
      </x:c>
      <x:c r="B147" s="7" t="d">
        <x:v>2026-09-06T00:00:00.000Z</x:v>
      </x:c>
      <x:c r="C147" s="2" t="str">
        <x:v>Презентации</x:v>
      </x:c>
      <x:c r="D147" s="2" t="str">
        <x:v>пробовал</x:v>
      </x:c>
      <x:c r="E147" s="2" t="n">
        <x:v>5</x:v>
      </x:c>
      <x:c r="F147" s="2" t="str">
        <x:v>да</x:v>
      </x:c>
      <x:c r="G147" s="2" t="str">
        <x:v>Успевал повторять действия на экране. Сравнил со своим прошлым способом. Задание 146.</x:v>
      </x:c>
      <x:c r="H147" s="2" t="str">
        <x:v>темп</x:v>
      </x:c>
      <x:c r="I147" s="2" t="str">
        <x:v>положительная</x:v>
      </x:c>
      <x:c r="J147" s="2" t="str">
        <x:v>Успевал повторять действия на экране</x:v>
      </x:c>
      <x:c r="K147" s="2" t="str">
        <x:v>нет</x:v>
      </x:c>
      <x:c r="L147" s="2"/>
      <x:c r="M147" s="2"/>
      <x:c r="N147" s="2"/>
      <x:c r="O147" s="2"/>
    </x:row>
    <x:row r="148" ht="26" customHeight="1">
      <x:c r="A148" s="2" t="str">
        <x:v>R147</x:v>
      </x:c>
      <x:c r="B148" s="7" t="d">
        <x:v>2026-09-07T00:00:00.000Z</x:v>
      </x:c>
      <x:c r="C148" s="2" t="str">
        <x:v>Поиск</x:v>
      </x:c>
      <x:c r="D148" s="2" t="str">
        <x:v>использую</x:v>
      </x:c>
      <x:c r="E148" s="2" t="n">
        <x:v>5</x:v>
      </x:c>
      <x:c r="F148" s="2" t="str">
        <x:v>да</x:v>
      </x:c>
      <x:c r="G148" s="2" t="str">
        <x:v>Сам сделал письмо клиенту по образцу. Сравнил со своим прошлым способом. Задание 147.</x:v>
      </x:c>
      <x:c r="H148" s="2" t="str">
        <x:v>практика</x:v>
      </x:c>
      <x:c r="I148" s="2" t="str">
        <x:v>положительная</x:v>
      </x:c>
      <x:c r="J148" s="2" t="str">
        <x:v>Сам сделал письмо клиенту по образцу</x:v>
      </x:c>
      <x:c r="K148" s="2" t="str">
        <x:v>нет</x:v>
      </x:c>
      <x:c r="L148" s="2"/>
      <x:c r="M148" s="2"/>
      <x:c r="N148" s="2"/>
      <x:c r="O148" s="2"/>
    </x:row>
    <x:row r="149" ht="26" customHeight="1">
      <x:c r="A149" s="2" t="str">
        <x:v>R148</x:v>
      </x:c>
      <x:c r="B149" s="7" t="d">
        <x:v>2026-09-08T00:00:00.000Z</x:v>
      </x:c>
      <x:c r="C149" s="2" t="str">
        <x:v>Таблицы</x:v>
      </x:c>
      <x:c r="D149" s="2" t="str">
        <x:v>с нуля</x:v>
      </x:c>
      <x:c r="E149" s="2" t="n">
        <x:v>5</x:v>
      </x:c>
      <x:c r="F149" s="2" t="str">
        <x:v>да</x:v>
      </x:c>
      <x:c r="G149" s="2" t="str">
        <x:v>Получилось войти в сервис и выполнить задание. Сравнил со своим прошлым способом. Задание 148.</x:v>
      </x:c>
      <x:c r="H149" s="2" t="str">
        <x:v>доступ к сервисам</x:v>
      </x:c>
      <x:c r="I149" s="2" t="str">
        <x:v>положительная</x:v>
      </x:c>
      <x:c r="J149" s="2" t="str">
        <x:v>Получилось войти в сервис и выполнить задание</x:v>
      </x:c>
      <x:c r="K149" s="2" t="str">
        <x:v>нет</x:v>
      </x:c>
      <x:c r="L149" s="2"/>
      <x:c r="M149" s="2"/>
      <x:c r="N149" s="2"/>
      <x:c r="O149" s="2"/>
    </x:row>
    <x:row r="150" ht="26" customHeight="1">
      <x:c r="A150" s="2" t="str">
        <x:v>R149</x:v>
      </x:c>
      <x:c r="B150" s="7" t="d">
        <x:v>2026-09-09T00:00:00.000Z</x:v>
      </x:c>
      <x:c r="C150" s="2" t="str">
        <x:v>Письма</x:v>
      </x:c>
      <x:c r="D150" s="2" t="str">
        <x:v>пробовал</x:v>
      </x:c>
      <x:c r="E150" s="2" t="n">
        <x:v>5</x:v>
      </x:c>
      <x:c r="F150" s="2" t="str">
        <x:v>да</x:v>
      </x:c>
      <x:c r="G150" s="2" t="str">
        <x:v>Нашёл подходящий бесплатный инструмент. Сравнил со своим прошлым способом. Задание 149.</x:v>
      </x:c>
      <x:c r="H150" s="2" t="str">
        <x:v>стоимость сервисов</x:v>
      </x:c>
      <x:c r="I150" s="2" t="str">
        <x:v>положительная</x:v>
      </x:c>
      <x:c r="J150" s="2" t="str">
        <x:v>Нашёл подходящий бесплатный инструмент</x:v>
      </x:c>
      <x:c r="K150" s="2" t="str">
        <x:v>нет</x:v>
      </x:c>
      <x:c r="L150" s="2"/>
      <x:c r="M150" s="2"/>
      <x:c r="N150" s="2"/>
      <x:c r="O150" s="2"/>
    </x:row>
    <x:row r="151" ht="26" customHeight="1">
      <x:c r="A151" s="2" t="str">
        <x:v>R150</x:v>
      </x:c>
      <x:c r="B151" s="7" t="d">
        <x:v>2026-09-10T00:00:00.000Z</x:v>
      </x:c>
      <x:c r="C151" s="2" t="str">
        <x:v>Презентации</x:v>
      </x:c>
      <x:c r="D151" s="2" t="str">
        <x:v>использую</x:v>
      </x:c>
      <x:c r="E151" s="2" t="n">
        <x:v>5</x:v>
      </x:c>
      <x:c r="F151" s="2" t="str">
        <x:v>да</x:v>
      </x:c>
      <x:c r="G151" s="2" t="str">
        <x:v>Сохранил памятку и повторил по ней шаги. Сравнил со своим прошлым способом. Задание 150.</x:v>
      </x:c>
      <x:c r="H151" s="2" t="str">
        <x:v>материалы</x:v>
      </x:c>
      <x:c r="I151" s="2" t="str">
        <x:v>положительная</x:v>
      </x:c>
      <x:c r="J151" s="2" t="str">
        <x:v>Сохранил памятку и повторил по ней шаги</x:v>
      </x:c>
      <x:c r="K151" s="2" t="str">
        <x:v>нет</x:v>
      </x:c>
      <x:c r="L151" s="2"/>
      <x:c r="M151" s="2"/>
      <x:c r="N151" s="2"/>
      <x:c r="O151" s="2"/>
    </x:row>
    <x:row r="152" ht="26" customHeight="1">
      <x:c r="A152" s="2" t="str">
        <x:v>R151</x:v>
      </x:c>
      <x:c r="B152" s="7" t="d">
        <x:v>2026-09-11T00:00:00.000Z</x:v>
      </x:c>
      <x:c r="C152" s="2" t="str">
        <x:v>Поиск</x:v>
      </x:c>
      <x:c r="D152" s="2" t="str">
        <x:v>с нуля</x:v>
      </x:c>
      <x:c r="E152" s="2" t="n">
        <x:v>5</x:v>
      </x:c>
      <x:c r="F152" s="2" t="str">
        <x:v>да</x:v>
      </x:c>
      <x:c r="G152" s="2" t="str">
        <x:v>Ссылка пришла вовремя, звук был хороший. Сравнил со своим прошлым способом. Задание 151.</x:v>
      </x:c>
      <x:c r="H152" s="2" t="str">
        <x:v>организация</x:v>
      </x:c>
      <x:c r="I152" s="2" t="str">
        <x:v>положительная</x:v>
      </x:c>
      <x:c r="J152" s="2" t="str">
        <x:v>Ссылка пришла вовремя, звук был хороший</x:v>
      </x:c>
      <x:c r="K152" s="2" t="str">
        <x:v>нет</x:v>
      </x:c>
      <x:c r="L152" s="2"/>
      <x:c r="M152" s="2"/>
      <x:c r="N152" s="2"/>
      <x:c r="O152" s="2"/>
    </x:row>
    <x:row r="153" ht="26" customHeight="1">
      <x:c r="A153" s="2" t="str">
        <x:v>R152</x:v>
      </x:c>
      <x:c r="B153" s="7" t="d">
        <x:v>2026-09-12T00:00:00.000Z</x:v>
      </x:c>
      <x:c r="C153" s="2" t="str">
        <x:v>Таблицы</x:v>
      </x:c>
      <x:c r="D153" s="2" t="str">
        <x:v>пробовал</x:v>
      </x:c>
      <x:c r="E153" s="2" t="n">
        <x:v>5</x:v>
      </x:c>
      <x:c r="F153" s="2" t="str">
        <x:v>да</x:v>
      </x:c>
      <x:c r="G153" s="2" t="str">
        <x:v>Спасибо за занятие. Сравнил со своим прошлым способом. Задание 152.</x:v>
      </x:c>
      <x:c r="H153" s="2" t="str">
        <x:v>другое</x:v>
      </x:c>
      <x:c r="I153" s="2" t="str">
        <x:v>положительная</x:v>
      </x:c>
      <x:c r="J153" s="2" t="str">
        <x:v>Спасибо за занятие</x:v>
      </x:c>
      <x:c r="K153" s="2" t="str">
        <x:v>нет</x:v>
      </x:c>
      <x:c r="L153" s="2"/>
      <x:c r="M153" s="2"/>
      <x:c r="N153" s="2"/>
      <x:c r="O153" s="2"/>
    </x:row>
    <x:row r="154" ht="26" customHeight="1">
      <x:c r="A154" s="2" t="str">
        <x:v>R153</x:v>
      </x:c>
      <x:c r="B154" s="7" t="d">
        <x:v>2026-09-13T00:00:00.000Z</x:v>
      </x:c>
      <x:c r="C154" s="2" t="str">
        <x:v>Письма</x:v>
      </x:c>
      <x:c r="D154" s="2" t="str">
        <x:v>использую</x:v>
      </x:c>
      <x:c r="E154" s="2" t="n">
        <x:v>2</x:v>
      </x:c>
      <x:c r="F154" s="2" t="str">
        <x:v>нет</x:v>
      </x:c>
      <x:c r="G154" s="2" t="str">
        <x:v>Не понял разницу между задачей и запросом. Сравнил со своим прошлым способом. Задание 153.</x:v>
      </x:c>
      <x:c r="H154" s="2" t="str">
        <x:v>понятность</x:v>
      </x:c>
      <x:c r="I154" s="2" t="str">
        <x:v>отрицательная</x:v>
      </x:c>
      <x:c r="J154" s="2" t="str">
        <x:v>Не понял разницу между задачей и запросом</x:v>
      </x:c>
      <x:c r="K154" s="2" t="str">
        <x:v>нет</x:v>
      </x:c>
      <x:c r="L154" s="2"/>
      <x:c r="M154" s="2"/>
      <x:c r="N154" s="2"/>
      <x:c r="O154" s="2"/>
    </x:row>
    <x:row r="155" ht="26" customHeight="1">
      <x:c r="A155" s="2" t="str">
        <x:v>R154</x:v>
      </x:c>
      <x:c r="B155" s="7" t="d">
        <x:v>2026-09-14T00:00:00.000Z</x:v>
      </x:c>
      <x:c r="C155" s="2" t="str">
        <x:v>Презентации</x:v>
      </x:c>
      <x:c r="D155" s="2" t="str">
        <x:v>с нуля</x:v>
      </x:c>
      <x:c r="E155" s="2" t="n">
        <x:v>2</x:v>
      </x:c>
      <x:c r="F155" s="2" t="str">
        <x:v>нет</x:v>
      </x:c>
      <x:c r="G155" s="2" t="str">
        <x:v>Слишком быстро переключались между окнами. Сравнил со своим прошлым способом. Задание 154.</x:v>
      </x:c>
      <x:c r="H155" s="2" t="str">
        <x:v>темп</x:v>
      </x:c>
      <x:c r="I155" s="2" t="str">
        <x:v>отрицательная</x:v>
      </x:c>
      <x:c r="J155" s="2" t="str">
        <x:v>Слишком быстро переключались между окнами</x:v>
      </x:c>
      <x:c r="K155" s="2" t="str">
        <x:v>нет</x:v>
      </x:c>
      <x:c r="L155" s="2"/>
      <x:c r="M155" s="2"/>
      <x:c r="N155" s="2"/>
      <x:c r="O155" s="2"/>
    </x:row>
    <x:row r="156" ht="26" customHeight="1">
      <x:c r="A156" s="2" t="str">
        <x:v>R155</x:v>
      </x:c>
      <x:c r="B156" s="7" t="d">
        <x:v>2026-09-15T00:00:00.000Z</x:v>
      </x:c>
      <x:c r="C156" s="2" t="str">
        <x:v>Поиск</x:v>
      </x:c>
      <x:c r="D156" s="2" t="str">
        <x:v>пробовал</x:v>
      </x:c>
      <x:c r="E156" s="2" t="n">
        <x:v>2</x:v>
      </x:c>
      <x:c r="F156" s="2" t="str">
        <x:v>нет</x:v>
      </x:c>
      <x:c r="G156" s="2" t="str">
        <x:v>Не хватило самостоятельной практики. Сравнил со своим прошлым способом. Задание 155.</x:v>
      </x:c>
      <x:c r="H156" s="2" t="str">
        <x:v>практика</x:v>
      </x:c>
      <x:c r="I156" s="2" t="str">
        <x:v>отрицательная</x:v>
      </x:c>
      <x:c r="J156" s="2" t="str">
        <x:v>Не хватило самостоятельной практики</x:v>
      </x:c>
      <x:c r="K156" s="2" t="str">
        <x:v>нет</x:v>
      </x:c>
      <x:c r="L156" s="2"/>
      <x:c r="M156" s="2"/>
      <x:c r="N156" s="2"/>
      <x:c r="O156" s="2"/>
    </x:row>
    <x:row r="157" ht="26" customHeight="1">
      <x:c r="A157" s="2" t="str">
        <x:v>R156</x:v>
      </x:c>
      <x:c r="B157" s="7" t="d">
        <x:v>2026-09-16T00:00:00.000Z</x:v>
      </x:c>
      <x:c r="C157" s="2" t="str">
        <x:v>Таблицы</x:v>
      </x:c>
      <x:c r="D157" s="2" t="str">
        <x:v>использую</x:v>
      </x:c>
      <x:c r="E157" s="2" t="n">
        <x:v>2</x:v>
      </x:c>
      <x:c r="F157" s="2" t="str">
        <x:v>нет</x:v>
      </x:c>
      <x:c r="G157" s="2" t="str">
        <x:v>Не удалось зарегистрироваться в сервисе. Сравнил со своим прошлым способом. Задание 156.</x:v>
      </x:c>
      <x:c r="H157" s="2" t="str">
        <x:v>доступ к сервисам</x:v>
      </x:c>
      <x:c r="I157" s="2" t="str">
        <x:v>отрицательная</x:v>
      </x:c>
      <x:c r="J157" s="2" t="str">
        <x:v>Не удалось зарегистрироваться в сервисе</x:v>
      </x:c>
      <x:c r="K157" s="2" t="str">
        <x:v>нет</x:v>
      </x:c>
      <x:c r="L157" s="2"/>
      <x:c r="M157" s="2"/>
      <x:c r="N157" s="2"/>
      <x:c r="O157" s="2"/>
    </x:row>
    <x:row r="158" ht="26" customHeight="1">
      <x:c r="A158" s="2" t="str">
        <x:v>R157</x:v>
      </x:c>
      <x:c r="B158" s="7" t="d">
        <x:v>2026-09-17T00:00:00.000Z</x:v>
      </x:c>
      <x:c r="C158" s="2" t="str">
        <x:v>Письма</x:v>
      </x:c>
      <x:c r="D158" s="2" t="str">
        <x:v>с нуля</x:v>
      </x:c>
      <x:c r="E158" s="2" t="n">
        <x:v>2</x:v>
      </x:c>
      <x:c r="F158" s="2" t="str">
        <x:v>нет</x:v>
      </x:c>
      <x:c r="G158" s="2" t="str">
        <x:v>Непонятно, какие функции требуют оплаты. Сравнил со своим прошлым способом. Задание 157.</x:v>
      </x:c>
      <x:c r="H158" s="2" t="str">
        <x:v>стоимость сервисов</x:v>
      </x:c>
      <x:c r="I158" s="2" t="str">
        <x:v>отрицательная</x:v>
      </x:c>
      <x:c r="J158" s="2" t="str">
        <x:v>Непонятно, какие функции требуют оплаты</x:v>
      </x:c>
      <x:c r="K158" s="2" t="str">
        <x:v>нет</x:v>
      </x:c>
      <x:c r="L158" s="2"/>
      <x:c r="M158" s="2"/>
      <x:c r="N158" s="2"/>
      <x:c r="O158" s="2"/>
    </x:row>
    <x:row r="159" ht="26" customHeight="1">
      <x:c r="A159" s="2" t="str">
        <x:v>R158</x:v>
      </x:c>
      <x:c r="B159" s="7" t="d">
        <x:v>2026-09-18T00:00:00.000Z</x:v>
      </x:c>
      <x:c r="C159" s="2" t="str">
        <x:v>Презентации</x:v>
      </x:c>
      <x:c r="D159" s="2" t="str">
        <x:v>пробовал</x:v>
      </x:c>
      <x:c r="E159" s="2" t="n">
        <x:v>2</x:v>
      </x:c>
      <x:c r="F159" s="2" t="str">
        <x:v>нет</x:v>
      </x:c>
      <x:c r="G159" s="2" t="str">
        <x:v>Не нашёл файл с примером после занятия. Сравнил со своим прошлым способом. Задание 158.</x:v>
      </x:c>
      <x:c r="H159" s="2" t="str">
        <x:v>материалы</x:v>
      </x:c>
      <x:c r="I159" s="2" t="str">
        <x:v>отрицательная</x:v>
      </x:c>
      <x:c r="J159" s="2" t="str">
        <x:v>Не нашёл файл с примером после занятия</x:v>
      </x:c>
      <x:c r="K159" s="2" t="str">
        <x:v>нет</x:v>
      </x:c>
      <x:c r="L159" s="2"/>
      <x:c r="M159" s="2"/>
      <x:c r="N159" s="2"/>
      <x:c r="O159" s="2"/>
    </x:row>
    <x:row r="160" ht="26" customHeight="1">
      <x:c r="A160" s="2" t="str">
        <x:v>R159</x:v>
      </x:c>
      <x:c r="B160" s="7" t="d">
        <x:v>2026-09-19T00:00:00.000Z</x:v>
      </x:c>
      <x:c r="C160" s="2" t="str">
        <x:v>Поиск</x:v>
      </x:c>
      <x:c r="D160" s="2" t="str">
        <x:v>использую</x:v>
      </x:c>
      <x:c r="E160" s="2" t="n">
        <x:v>2</x:v>
      </x:c>
      <x:c r="F160" s="2" t="str">
        <x:v>нет</x:v>
      </x:c>
      <x:c r="G160" s="2" t="str">
        <x:v>Не было слышно часть объяснения. Сравнил со своим прошлым способом. Задание 159.</x:v>
      </x:c>
      <x:c r="H160" s="2" t="str">
        <x:v>организация</x:v>
      </x:c>
      <x:c r="I160" s="2" t="str">
        <x:v>отрицательная</x:v>
      </x:c>
      <x:c r="J160" s="2" t="str">
        <x:v>Не было слышно часть объяснения</x:v>
      </x:c>
      <x:c r="K160" s="2" t="str">
        <x:v>нет</x:v>
      </x:c>
      <x:c r="L160" s="2"/>
      <x:c r="M160" s="2"/>
      <x:c r="N160" s="2"/>
      <x:c r="O160" s="2"/>
    </x:row>
    <x:row r="161" ht="26" customHeight="1">
      <x:c r="A161" s="2" t="str">
        <x:v>R160</x:v>
      </x:c>
      <x:c r="B161" s="7" t="d">
        <x:v>2026-09-20T00:00:00.000Z</x:v>
      </x:c>
      <x:c r="C161" s="2" t="str">
        <x:v>Таблицы</x:v>
      </x:c>
      <x:c r="D161" s="2" t="str">
        <x:v>с нуля</x:v>
      </x:c>
      <x:c r="E161" s="2" t="n">
        <x:v>3</x:v>
      </x:c>
      <x:c r="F161" s="2" t="str">
        <x:v>нет</x:v>
      </x:c>
      <x:c r="G161" s="2" t="str">
        <x:v>Нормально. Сравнил со своим прошлым способом. Задание 160.</x:v>
      </x:c>
      <x:c r="H161" s="2" t="str">
        <x:v>другое</x:v>
      </x:c>
      <x:c r="I161" s="2" t="str">
        <x:v>нейтральная</x:v>
      </x:c>
      <x:c r="J161" s="2" t="str">
        <x:v>Нормально</x:v>
      </x:c>
      <x:c r="K161" s="2" t="str">
        <x:v>да</x:v>
      </x:c>
      <x:c r="L161" s="2"/>
      <x:c r="M161" s="2"/>
      <x:c r="N161" s="2"/>
      <x:c r="O161" s="2"/>
    </x:row>
    <x:row r="162" ht="26" customHeight="1">
      <x:c r="A162" s="2" t="str">
        <x:v>R161</x:v>
      </x:c>
      <x:c r="B162" s="7" t="d">
        <x:v>2026-09-21T00:00:00.000Z</x:v>
      </x:c>
      <x:c r="C162" s="2" t="str">
        <x:v>Письма</x:v>
      </x:c>
      <x:c r="D162" s="2" t="str">
        <x:v>пробовал</x:v>
      </x:c>
      <x:c r="E162" s="2" t="n">
        <x:v>3</x:v>
      </x:c>
      <x:c r="F162" s="2" t="str">
        <x:v>нет</x:v>
      </x:c>
      <x:c r="G162" s="2" t="str">
        <x:v>Термины объяснили понятно, но часть шагов осталась неясной. Сравнил со своим прошлым способом. Задание 161.</x:v>
      </x:c>
      <x:c r="H162" s="2" t="str">
        <x:v>понятность</x:v>
      </x:c>
      <x:c r="I162" s="2" t="str">
        <x:v>смешанная</x:v>
      </x:c>
      <x:c r="J162" s="2" t="str">
        <x:v>Термины объяснили понятно, но часть шагов осталась неясной</x:v>
      </x:c>
      <x:c r="K162" s="2" t="str">
        <x:v>да</x:v>
      </x:c>
      <x:c r="L162" s="2"/>
      <x:c r="M162" s="2"/>
      <x:c r="N162" s="2"/>
      <x:c r="O162" s="2"/>
    </x:row>
    <x:row r="163" ht="26" customHeight="1">
      <x:c r="A163" s="2" t="str">
        <x:v>R162</x:v>
      </x:c>
      <x:c r="B163" s="7" t="d">
        <x:v>2026-09-22T00:00:00.000Z</x:v>
      </x:c>
      <x:c r="C163" s="2" t="str">
        <x:v>Презентации</x:v>
      </x:c>
      <x:c r="D163" s="2" t="str">
        <x:v>использую</x:v>
      </x:c>
      <x:c r="E163" s="2" t="n">
        <x:v>3</x:v>
      </x:c>
      <x:c r="F163" s="2" t="str">
        <x:v>нет</x:v>
      </x:c>
      <x:c r="G163" s="2" t="str">
        <x:v>Начало шло спокойно, а конец был слишком быстрым. Сравнил со своим прошлым способом. Задание 162.</x:v>
      </x:c>
      <x:c r="H163" s="2" t="str">
        <x:v>темп</x:v>
      </x:c>
      <x:c r="I163" s="2" t="str">
        <x:v>смешанная</x:v>
      </x:c>
      <x:c r="J163" s="2" t="str">
        <x:v>Начало шло спокойно, а конец был слишком быстрым</x:v>
      </x:c>
      <x:c r="K163" s="2" t="str">
        <x:v>да</x:v>
      </x:c>
      <x:c r="L163" s="2"/>
      <x:c r="M163" s="2"/>
      <x:c r="N163" s="2"/>
      <x:c r="O163" s="2"/>
    </x:row>
    <x:row r="164" ht="26" customHeight="1">
      <x:c r="A164" s="2" t="str">
        <x:v>R163</x:v>
      </x:c>
      <x:c r="B164" s="7" t="d">
        <x:v>2026-09-23T00:00:00.000Z</x:v>
      </x:c>
      <x:c r="C164" s="2" t="str">
        <x:v>Поиск</x:v>
      </x:c>
      <x:c r="D164" s="2" t="str">
        <x:v>с нуля</x:v>
      </x:c>
      <x:c r="E164" s="2" t="n">
        <x:v>4</x:v>
      </x:c>
      <x:c r="F164" s="2" t="str">
        <x:v>да</x:v>
      </x:c>
      <x:c r="G164" s="2" t="str">
        <x:v>Примеры полезные, но хочу задание для своей работы. Сравнил со своим прошлым способом. Задание 163.</x:v>
      </x:c>
      <x:c r="H164" s="2" t="str">
        <x:v>практика</x:v>
      </x:c>
      <x:c r="I164" s="2" t="str">
        <x:v>смешанная</x:v>
      </x:c>
      <x:c r="J164" s="2" t="str">
        <x:v>Примеры полезные, но хочу задание для своей работы</x:v>
      </x:c>
      <x:c r="K164" s="2" t="str">
        <x:v>да</x:v>
      </x:c>
      <x:c r="L164" s="2"/>
      <x:c r="M164" s="2"/>
      <x:c r="N164" s="2"/>
      <x:c r="O164" s="2"/>
    </x:row>
    <x:row r="165" ht="26" customHeight="1">
      <x:c r="A165" s="2" t="str">
        <x:v>R164</x:v>
      </x:c>
      <x:c r="B165" s="7" t="d">
        <x:v>2026-09-24T00:00:00.000Z</x:v>
      </x:c>
      <x:c r="C165" s="2" t="str">
        <x:v>Таблицы</x:v>
      </x:c>
      <x:c r="D165" s="2" t="str">
        <x:v>пробовал</x:v>
      </x:c>
      <x:c r="E165" s="2" t="n">
        <x:v>4</x:v>
      </x:c>
      <x:c r="F165" s="2" t="str">
        <x:v>да</x:v>
      </x:c>
      <x:c r="G165" s="2" t="str">
        <x:v>Сначала не смог войти, потом помог резервный способ. Сравнил со своим прошлым способом. Задание 164.</x:v>
      </x:c>
      <x:c r="H165" s="2" t="str">
        <x:v>доступ к сервисам</x:v>
      </x:c>
      <x:c r="I165" s="2" t="str">
        <x:v>смешанная</x:v>
      </x:c>
      <x:c r="J165" s="2" t="str">
        <x:v>Сначала не смог войти, потом помог резервный способ</x:v>
      </x:c>
      <x:c r="K165" s="2" t="str">
        <x:v>да</x:v>
      </x:c>
      <x:c r="L165" s="2"/>
      <x:c r="M165" s="2"/>
      <x:c r="N165" s="2"/>
      <x:c r="O165" s="2"/>
    </x:row>
    <x:row r="166" ht="26" customHeight="1">
      <x:c r="A166" s="2" t="str">
        <x:v>R165</x:v>
      </x:c>
      <x:c r="B166" s="7" t="d">
        <x:v>2026-09-25T00:00:00.000Z</x:v>
      </x:c>
      <x:c r="C166" s="2" t="str">
        <x:v>Письма</x:v>
      </x:c>
      <x:c r="D166" s="2" t="str">
        <x:v>использую</x:v>
      </x:c>
      <x:c r="E166" s="2" t="n">
        <x:v>3</x:v>
      </x:c>
      <x:c r="F166" s="2" t="str">
        <x:v>нет</x:v>
      </x:c>
      <x:c r="G166" s="2" t="str">
        <x:v>Бесплатного режима хватило для примера, но дальше есть ограничения. Сравнил со своим прошлым способом. Задание 165.</x:v>
      </x:c>
      <x:c r="H166" s="2" t="str">
        <x:v>стоимость сервисов</x:v>
      </x:c>
      <x:c r="I166" s="2" t="str">
        <x:v>смешанная</x:v>
      </x:c>
      <x:c r="J166" s="2" t="str">
        <x:v>Бесплатного режима хватило для примера, но дальше есть ограничения</x:v>
      </x:c>
      <x:c r="K166" s="2" t="str">
        <x:v>да</x:v>
      </x:c>
      <x:c r="L166" s="2"/>
      <x:c r="M166" s="2"/>
      <x:c r="N166" s="2"/>
      <x:c r="O166" s="2"/>
    </x:row>
    <x:row r="167" ht="26" customHeight="1">
      <x:c r="A167" s="2" t="str">
        <x:v>R166</x:v>
      </x:c>
      <x:c r="B167" s="7" t="d">
        <x:v>2026-09-26T00:00:00.000Z</x:v>
      </x:c>
      <x:c r="C167" s="2" t="str">
        <x:v>Презентации</x:v>
      </x:c>
      <x:c r="D167" s="2" t="str">
        <x:v>с нуля</x:v>
      </x:c>
      <x:c r="E167" s="2" t="n">
        <x:v>4</x:v>
      </x:c>
      <x:c r="F167" s="2" t="str">
        <x:v>да</x:v>
      </x:c>
      <x:c r="G167" s="2" t="str">
        <x:v>Запись полезная, хотелось бы добавить таймкоды. Сравнил со своим прошлым способом. Задание 166.</x:v>
      </x:c>
      <x:c r="H167" s="2" t="str">
        <x:v>материалы</x:v>
      </x:c>
      <x:c r="I167" s="2" t="str">
        <x:v>смешанная</x:v>
      </x:c>
      <x:c r="J167" s="2" t="str">
        <x:v>Запись полезная, хотелось бы добавить таймкоды</x:v>
      </x:c>
      <x:c r="K167" s="2" t="str">
        <x:v>да</x:v>
      </x:c>
      <x:c r="L167" s="2"/>
      <x:c r="M167" s="2"/>
      <x:c r="N167" s="2"/>
      <x:c r="O167" s="2"/>
    </x:row>
    <x:row r="168" ht="26" customHeight="1">
      <x:c r="A168" s="2" t="str">
        <x:v>R167</x:v>
      </x:c>
      <x:c r="B168" s="7" t="d">
        <x:v>2026-09-27T00:00:00.000Z</x:v>
      </x:c>
      <x:c r="C168" s="2" t="str">
        <x:v>Поиск</x:v>
      </x:c>
      <x:c r="D168" s="2" t="str">
        <x:v>пробовал</x:v>
      </x:c>
      <x:c r="E168" s="2" t="n">
        <x:v>3</x:v>
      </x:c>
      <x:c r="F168" s="2" t="str">
        <x:v>нет</x:v>
      </x:c>
      <x:c r="G168" s="2" t="str">
        <x:v>Подключился легко, но вопросы в чате остались без ответа. Сравнил со своим прошлым способом. Задание 167.</x:v>
      </x:c>
      <x:c r="H168" s="2" t="str">
        <x:v>организация</x:v>
      </x:c>
      <x:c r="I168" s="2" t="str">
        <x:v>смешанная</x:v>
      </x:c>
      <x:c r="J168" s="2" t="str">
        <x:v>Подключился легко, но вопросы в чате остались без ответа</x:v>
      </x:c>
      <x:c r="K168" s="2" t="str">
        <x:v>да</x:v>
      </x:c>
      <x:c r="L168" s="2"/>
      <x:c r="M168" s="2"/>
      <x:c r="N168" s="2"/>
      <x:c r="O168" s="2"/>
    </x:row>
    <x:row r="169" ht="26" customHeight="1">
      <x:c r="A169" s="2" t="str">
        <x:v>R168</x:v>
      </x:c>
      <x:c r="B169" s="7" t="d">
        <x:v>2026-09-28T00:00:00.000Z</x:v>
      </x:c>
      <x:c r="C169" s="2" t="str">
        <x:v>Таблицы</x:v>
      </x:c>
      <x:c r="D169" s="2" t="str">
        <x:v>использую</x:v>
      </x:c>
      <x:c r="E169" s="2" t="n">
        <x:v>3</x:v>
      </x:c>
      <x:c r="F169" s="2" t="str">
        <x:v>нет</x:v>
      </x:c>
      <x:c r="G169" s="2" t="str">
        <x:v>Пока не решил, где буду это применять. Сравнил со своим прошлым способом. Задание 168.</x:v>
      </x:c>
      <x:c r="H169" s="2" t="str">
        <x:v>другое</x:v>
      </x:c>
      <x:c r="I169" s="2" t="str">
        <x:v>нейтральная</x:v>
      </x:c>
      <x:c r="J169" s="2" t="str">
        <x:v>Пока не решил, где буду это применять</x:v>
      </x:c>
      <x:c r="K169" s="2" t="str">
        <x:v>да</x:v>
      </x:c>
      <x:c r="L169" s="2"/>
      <x:c r="M169" s="2"/>
      <x:c r="N169" s="2"/>
      <x:c r="O169" s="2"/>
    </x:row>
    <x:row r="170" ht="26" customHeight="1">
      <x:c r="A170" s="2" t="str">
        <x:v>R169</x:v>
      </x:c>
      <x:c r="B170" s="7" t="d">
        <x:v>2026-09-01T00:00:00.000Z</x:v>
      </x:c>
      <x:c r="C170" s="2" t="str">
        <x:v>Письма</x:v>
      </x:c>
      <x:c r="D170" s="2" t="str">
        <x:v>с нуля</x:v>
      </x:c>
      <x:c r="E170" s="2" t="n">
        <x:v>5</x:v>
      </x:c>
      <x:c r="F170" s="2" t="str">
        <x:v>да</x:v>
      </x:c>
      <x:c r="G170" s="2" t="str">
        <x:v>Объяснение стало понятным после примера. Сохранил результат в отдельный файл. Задание 169.</x:v>
      </x:c>
      <x:c r="H170" s="2" t="str">
        <x:v>понятность</x:v>
      </x:c>
      <x:c r="I170" s="2" t="str">
        <x:v>положительная</x:v>
      </x:c>
      <x:c r="J170" s="2" t="str">
        <x:v>Объяснение стало понятным после примера</x:v>
      </x:c>
      <x:c r="K170" s="2" t="str">
        <x:v>нет</x:v>
      </x:c>
      <x:c r="L170" s="2"/>
      <x:c r="M170" s="2"/>
      <x:c r="N170" s="2"/>
      <x:c r="O170" s="2"/>
    </x:row>
    <x:row r="171" ht="26" customHeight="1">
      <x:c r="A171" s="2" t="str">
        <x:v>R170</x:v>
      </x:c>
      <x:c r="B171" s="7" t="d">
        <x:v>2026-09-02T00:00:00.000Z</x:v>
      </x:c>
      <x:c r="C171" s="2" t="str">
        <x:v>Презентации</x:v>
      </x:c>
      <x:c r="D171" s="2" t="str">
        <x:v>пробовал</x:v>
      </x:c>
      <x:c r="E171" s="2" t="n">
        <x:v>5</x:v>
      </x:c>
      <x:c r="F171" s="2" t="str">
        <x:v>да</x:v>
      </x:c>
      <x:c r="G171" s="2" t="str">
        <x:v>Успевал повторять действия на экране. Сохранил результат в отдельный файл. Задание 170.</x:v>
      </x:c>
      <x:c r="H171" s="2" t="str">
        <x:v>темп</x:v>
      </x:c>
      <x:c r="I171" s="2" t="str">
        <x:v>положительная</x:v>
      </x:c>
      <x:c r="J171" s="2" t="str">
        <x:v>Успевал повторять действия на экране</x:v>
      </x:c>
      <x:c r="K171" s="2" t="str">
        <x:v>нет</x:v>
      </x:c>
      <x:c r="L171" s="2"/>
      <x:c r="M171" s="2"/>
      <x:c r="N171" s="2"/>
      <x:c r="O171" s="2"/>
    </x:row>
    <x:row r="172" ht="26" customHeight="1">
      <x:c r="A172" s="2" t="str">
        <x:v>R171</x:v>
      </x:c>
      <x:c r="B172" s="7" t="d">
        <x:v>2026-09-03T00:00:00.000Z</x:v>
      </x:c>
      <x:c r="C172" s="2" t="str">
        <x:v>Поиск</x:v>
      </x:c>
      <x:c r="D172" s="2" t="str">
        <x:v>использую</x:v>
      </x:c>
      <x:c r="E172" s="2" t="n">
        <x:v>5</x:v>
      </x:c>
      <x:c r="F172" s="2"/>
      <x:c r="G172" s="2" t="str">
        <x:v>Сам сделал письмо клиенту по образцу. Сохранил результат в отдельный файл. Задание 171.</x:v>
      </x:c>
      <x:c r="H172" s="2" t="str">
        <x:v>практика</x:v>
      </x:c>
      <x:c r="I172" s="2" t="str">
        <x:v>положительная</x:v>
      </x:c>
      <x:c r="J172" s="2" t="str">
        <x:v>Сам сделал письмо клиенту по образцу</x:v>
      </x:c>
      <x:c r="K172" s="2" t="str">
        <x:v>нет</x:v>
      </x:c>
      <x:c r="L172" s="2"/>
      <x:c r="M172" s="2"/>
      <x:c r="N172" s="2"/>
      <x:c r="O172" s="2"/>
    </x:row>
    <x:row r="173" ht="26" customHeight="1">
      <x:c r="A173" s="2" t="str">
        <x:v>R172</x:v>
      </x:c>
      <x:c r="B173" s="7" t="d">
        <x:v>2026-09-04T00:00:00.000Z</x:v>
      </x:c>
      <x:c r="C173" s="2" t="str">
        <x:v>Таблицы</x:v>
      </x:c>
      <x:c r="D173" s="2" t="str">
        <x:v>с нуля</x:v>
      </x:c>
      <x:c r="E173" s="2" t="n">
        <x:v>5</x:v>
      </x:c>
      <x:c r="F173" s="2" t="str">
        <x:v>да</x:v>
      </x:c>
      <x:c r="G173" s="2" t="str">
        <x:v>Получилось войти в сервис и выполнить задание. Сохранил результат в отдельный файл. Задание 172.</x:v>
      </x:c>
      <x:c r="H173" s="2" t="str">
        <x:v>доступ к сервисам</x:v>
      </x:c>
      <x:c r="I173" s="2" t="str">
        <x:v>положительная</x:v>
      </x:c>
      <x:c r="J173" s="2" t="str">
        <x:v>Получилось войти в сервис и выполнить задание</x:v>
      </x:c>
      <x:c r="K173" s="2" t="str">
        <x:v>нет</x:v>
      </x:c>
      <x:c r="L173" s="2"/>
      <x:c r="M173" s="2"/>
      <x:c r="N173" s="2"/>
      <x:c r="O173" s="2"/>
    </x:row>
    <x:row r="174" ht="26" customHeight="1">
      <x:c r="A174" s="2" t="str">
        <x:v>R173</x:v>
      </x:c>
      <x:c r="B174" s="7" t="d">
        <x:v>2026-09-05T00:00:00.000Z</x:v>
      </x:c>
      <x:c r="C174" s="2" t="str">
        <x:v>Письма</x:v>
      </x:c>
      <x:c r="D174" s="2" t="str">
        <x:v>пробовал</x:v>
      </x:c>
      <x:c r="E174" s="2" t="n">
        <x:v>5</x:v>
      </x:c>
      <x:c r="F174" s="2" t="str">
        <x:v>да</x:v>
      </x:c>
      <x:c r="G174" s="2" t="str">
        <x:v>Нашёл подходящий бесплатный инструмент. Сохранил результат в отдельный файл. Задание 173.</x:v>
      </x:c>
      <x:c r="H174" s="2" t="str">
        <x:v>стоимость сервисов</x:v>
      </x:c>
      <x:c r="I174" s="2" t="str">
        <x:v>положительная</x:v>
      </x:c>
      <x:c r="J174" s="2" t="str">
        <x:v>Нашёл подходящий бесплатный инструмент</x:v>
      </x:c>
      <x:c r="K174" s="2" t="str">
        <x:v>нет</x:v>
      </x:c>
      <x:c r="L174" s="2"/>
      <x:c r="M174" s="2"/>
      <x:c r="N174" s="2"/>
      <x:c r="O174" s="2"/>
    </x:row>
    <x:row r="175" ht="26" customHeight="1">
      <x:c r="A175" s="2" t="str">
        <x:v>R174</x:v>
      </x:c>
      <x:c r="B175" s="7" t="d">
        <x:v>2026-09-06T00:00:00.000Z</x:v>
      </x:c>
      <x:c r="C175" s="2" t="str">
        <x:v>Презентации</x:v>
      </x:c>
      <x:c r="D175" s="2" t="str">
        <x:v>использую</x:v>
      </x:c>
      <x:c r="E175" s="2" t="n">
        <x:v>5</x:v>
      </x:c>
      <x:c r="F175" s="2" t="str">
        <x:v>да</x:v>
      </x:c>
      <x:c r="G175" s="2" t="str">
        <x:v>Сохранил памятку и повторил по ней шаги. Сохранил результат в отдельный файл. Задание 174.</x:v>
      </x:c>
      <x:c r="H175" s="2" t="str">
        <x:v>материалы</x:v>
      </x:c>
      <x:c r="I175" s="2" t="str">
        <x:v>положительная</x:v>
      </x:c>
      <x:c r="J175" s="2" t="str">
        <x:v>Сохранил памятку и повторил по ней шаги</x:v>
      </x:c>
      <x:c r="K175" s="2" t="str">
        <x:v>нет</x:v>
      </x:c>
      <x:c r="L175" s="2"/>
      <x:c r="M175" s="2"/>
      <x:c r="N175" s="2"/>
      <x:c r="O175" s="2"/>
    </x:row>
    <x:row r="176" ht="26" customHeight="1">
      <x:c r="A176" s="2" t="str">
        <x:v>R175</x:v>
      </x:c>
      <x:c r="B176" s="7" t="d">
        <x:v>2026-09-07T00:00:00.000Z</x:v>
      </x:c>
      <x:c r="C176" s="2" t="str">
        <x:v>Поиск</x:v>
      </x:c>
      <x:c r="D176" s="2" t="str">
        <x:v>с нуля</x:v>
      </x:c>
      <x:c r="E176" s="2" t="n">
        <x:v>5</x:v>
      </x:c>
      <x:c r="F176" s="2" t="str">
        <x:v>да</x:v>
      </x:c>
      <x:c r="G176" s="2" t="str">
        <x:v>Ссылка пришла вовремя, звук был хороший. Сохранил результат в отдельный файл. Задание 175.</x:v>
      </x:c>
      <x:c r="H176" s="2" t="str">
        <x:v>организация</x:v>
      </x:c>
      <x:c r="I176" s="2" t="str">
        <x:v>положительная</x:v>
      </x:c>
      <x:c r="J176" s="2" t="str">
        <x:v>Ссылка пришла вовремя, звук был хороший</x:v>
      </x:c>
      <x:c r="K176" s="2" t="str">
        <x:v>нет</x:v>
      </x:c>
      <x:c r="L176" s="2"/>
      <x:c r="M176" s="2"/>
      <x:c r="N176" s="2"/>
      <x:c r="O176" s="2"/>
    </x:row>
    <x:row r="177" ht="26" customHeight="1">
      <x:c r="A177" s="2" t="str">
        <x:v>R176</x:v>
      </x:c>
      <x:c r="B177" s="7" t="d">
        <x:v>2026-09-08T00:00:00.000Z</x:v>
      </x:c>
      <x:c r="C177" s="2" t="str">
        <x:v>Таблицы</x:v>
      </x:c>
      <x:c r="D177" s="2" t="str">
        <x:v>пробовал</x:v>
      </x:c>
      <x:c r="E177" s="2" t="n">
        <x:v>5</x:v>
      </x:c>
      <x:c r="F177" s="2" t="str">
        <x:v>да</x:v>
      </x:c>
      <x:c r="G177" s="2" t="str">
        <x:v>Спасибо за занятие. Сохранил результат в отдельный файл. Задание 176.</x:v>
      </x:c>
      <x:c r="H177" s="2" t="str">
        <x:v>другое</x:v>
      </x:c>
      <x:c r="I177" s="2" t="str">
        <x:v>положительная</x:v>
      </x:c>
      <x:c r="J177" s="2" t="str">
        <x:v>Спасибо за занятие</x:v>
      </x:c>
      <x:c r="K177" s="2" t="str">
        <x:v>нет</x:v>
      </x:c>
      <x:c r="L177" s="2"/>
      <x:c r="M177" s="2"/>
      <x:c r="N177" s="2"/>
      <x:c r="O177" s="2"/>
    </x:row>
    <x:row r="178" ht="26" customHeight="1">
      <x:c r="A178" s="2" t="str">
        <x:v>R177</x:v>
      </x:c>
      <x:c r="B178" s="7" t="d">
        <x:v>2026-09-09T00:00:00.000Z</x:v>
      </x:c>
      <x:c r="C178" s="2" t="str">
        <x:v>Письма</x:v>
      </x:c>
      <x:c r="D178" s="2" t="str">
        <x:v>использую</x:v>
      </x:c>
      <x:c r="E178" s="2" t="n">
        <x:v>2</x:v>
      </x:c>
      <x:c r="F178" s="2" t="str">
        <x:v>нет</x:v>
      </x:c>
      <x:c r="G178" s="2" t="str">
        <x:v>Не понял разницу между задачей и запросом. Сохранил результат в отдельный файл. Задание 177.</x:v>
      </x:c>
      <x:c r="H178" s="2" t="str">
        <x:v>понятность</x:v>
      </x:c>
      <x:c r="I178" s="2" t="str">
        <x:v>отрицательная</x:v>
      </x:c>
      <x:c r="J178" s="2" t="str">
        <x:v>Не понял разницу между задачей и запросом</x:v>
      </x:c>
      <x:c r="K178" s="2" t="str">
        <x:v>нет</x:v>
      </x:c>
      <x:c r="L178" s="2"/>
      <x:c r="M178" s="2"/>
      <x:c r="N178" s="2"/>
      <x:c r="O178" s="2"/>
    </x:row>
    <x:row r="179" ht="26" customHeight="1">
      <x:c r="A179" s="2" t="str">
        <x:v>R178</x:v>
      </x:c>
      <x:c r="B179" s="7" t="d">
        <x:v>2026-09-10T00:00:00.000Z</x:v>
      </x:c>
      <x:c r="C179" s="2" t="str">
        <x:v>Презентации</x:v>
      </x:c>
      <x:c r="D179" s="2" t="str">
        <x:v>с нуля</x:v>
      </x:c>
      <x:c r="E179" s="2" t="n">
        <x:v>2</x:v>
      </x:c>
      <x:c r="F179" s="2" t="str">
        <x:v>нет</x:v>
      </x:c>
      <x:c r="G179" s="2" t="str">
        <x:v>Слишком быстро переключались между окнами. Сохранил результат в отдельный файл. Задание 178.</x:v>
      </x:c>
      <x:c r="H179" s="2" t="str">
        <x:v>темп</x:v>
      </x:c>
      <x:c r="I179" s="2" t="str">
        <x:v>отрицательная</x:v>
      </x:c>
      <x:c r="J179" s="2" t="str">
        <x:v>Слишком быстро переключались между окнами</x:v>
      </x:c>
      <x:c r="K179" s="2" t="str">
        <x:v>нет</x:v>
      </x:c>
      <x:c r="L179" s="2"/>
      <x:c r="M179" s="2"/>
      <x:c r="N179" s="2"/>
      <x:c r="O179" s="2"/>
    </x:row>
    <x:row r="180" ht="26" customHeight="1">
      <x:c r="A180" s="2" t="str">
        <x:v>R179</x:v>
      </x:c>
      <x:c r="B180" s="7" t="d">
        <x:v>2026-09-11T00:00:00.000Z</x:v>
      </x:c>
      <x:c r="C180" s="2" t="str">
        <x:v>Поиск</x:v>
      </x:c>
      <x:c r="D180" s="2" t="str">
        <x:v>пробовал</x:v>
      </x:c>
      <x:c r="E180" s="2" t="n">
        <x:v>2</x:v>
      </x:c>
      <x:c r="F180" s="2" t="str">
        <x:v>нет</x:v>
      </x:c>
      <x:c r="G180" s="2" t="str">
        <x:v>Не хватило самостоятельной практики. Сохранил результат в отдельный файл. Задание 179.</x:v>
      </x:c>
      <x:c r="H180" s="2" t="str">
        <x:v>практика</x:v>
      </x:c>
      <x:c r="I180" s="2" t="str">
        <x:v>отрицательная</x:v>
      </x:c>
      <x:c r="J180" s="2" t="str">
        <x:v>Не хватило самостоятельной практики</x:v>
      </x:c>
      <x:c r="K180" s="2" t="str">
        <x:v>нет</x:v>
      </x:c>
      <x:c r="L180" s="2"/>
      <x:c r="M180" s="2"/>
      <x:c r="N180" s="2"/>
      <x:c r="O180" s="2"/>
    </x:row>
    <x:row r="181" ht="26" customHeight="1">
      <x:c r="A181" s="2" t="str">
        <x:v>R180</x:v>
      </x:c>
      <x:c r="B181" s="7" t="d">
        <x:v>2026-09-12T00:00:00.000Z</x:v>
      </x:c>
      <x:c r="C181" s="2" t="str">
        <x:v>Таблицы</x:v>
      </x:c>
      <x:c r="D181" s="2" t="str">
        <x:v>использую</x:v>
      </x:c>
      <x:c r="E181" s="2" t="str">
        <x:v>пять</x:v>
      </x:c>
      <x:c r="F181" s="2" t="str">
        <x:v>нет</x:v>
      </x:c>
      <x:c r="G181" s="2" t="str">
        <x:v>Не удалось зарегистрироваться в сервисе. Сохранил результат в отдельный файл. Задание 180.</x:v>
      </x:c>
      <x:c r="H181" s="2" t="str">
        <x:v>доступ к сервисам</x:v>
      </x:c>
      <x:c r="I181" s="2" t="str">
        <x:v>отрицательная</x:v>
      </x:c>
      <x:c r="J181" s="2" t="str">
        <x:v>Не удалось зарегистрироваться в сервисе</x:v>
      </x:c>
      <x:c r="K181" s="2" t="str">
        <x:v>нет</x:v>
      </x:c>
      <x:c r="L181" s="2"/>
      <x:c r="M181" s="2"/>
      <x:c r="N181" s="2"/>
      <x:c r="O181" s="2"/>
    </x:row>
    <x:row r="182" ht="26" customHeight="1">
      <x:c r="A182" s="2" t="str">
        <x:v>R181</x:v>
      </x:c>
      <x:c r="B182" s="7" t="d">
        <x:v>2026-09-13T00:00:00.000Z</x:v>
      </x:c>
      <x:c r="C182" s="2" t="str">
        <x:v>Письма</x:v>
      </x:c>
      <x:c r="D182" s="2" t="str">
        <x:v>с нуля</x:v>
      </x:c>
      <x:c r="E182" s="2" t="n">
        <x:v>2</x:v>
      </x:c>
      <x:c r="F182" s="2" t="str">
        <x:v>нет</x:v>
      </x:c>
      <x:c r="G182" s="2" t="str">
        <x:v>Непонятно, какие функции требуют оплаты. Сохранил результат в отдельный файл. Задание 181.</x:v>
      </x:c>
      <x:c r="H182" s="2" t="str">
        <x:v>стоимость сервисов</x:v>
      </x:c>
      <x:c r="I182" s="2" t="str">
        <x:v>отрицательная</x:v>
      </x:c>
      <x:c r="J182" s="2" t="str">
        <x:v>Непонятно, какие функции требуют оплаты</x:v>
      </x:c>
      <x:c r="K182" s="2" t="str">
        <x:v>нет</x:v>
      </x:c>
      <x:c r="L182" s="2"/>
      <x:c r="M182" s="2"/>
      <x:c r="N182" s="2"/>
      <x:c r="O182" s="2"/>
    </x:row>
    <x:row r="183" ht="26" customHeight="1">
      <x:c r="A183" s="2" t="str">
        <x:v>R182</x:v>
      </x:c>
      <x:c r="B183" s="7" t="d">
        <x:v>2026-09-14T00:00:00.000Z</x:v>
      </x:c>
      <x:c r="C183" s="2" t="str">
        <x:v>Презентации</x:v>
      </x:c>
      <x:c r="D183" s="2" t="str">
        <x:v>пробовал</x:v>
      </x:c>
      <x:c r="E183" s="2" t="n">
        <x:v>2</x:v>
      </x:c>
      <x:c r="F183" s="2" t="str">
        <x:v>нет</x:v>
      </x:c>
      <x:c r="G183" s="2" t="str">
        <x:v>Не нашёл файл с примером после занятия. Сохранил результат в отдельный файл. Задание 182.</x:v>
      </x:c>
      <x:c r="H183" s="2" t="str">
        <x:v>материалы</x:v>
      </x:c>
      <x:c r="I183" s="2" t="str">
        <x:v>отрицательная</x:v>
      </x:c>
      <x:c r="J183" s="2" t="str">
        <x:v>Не нашёл файл с примером после занятия</x:v>
      </x:c>
      <x:c r="K183" s="2" t="str">
        <x:v>нет</x:v>
      </x:c>
      <x:c r="L183" s="2"/>
      <x:c r="M183" s="2"/>
      <x:c r="N183" s="2"/>
      <x:c r="O183" s="2"/>
    </x:row>
    <x:row r="184" ht="26" customHeight="1">
      <x:c r="A184" s="2" t="str">
        <x:v>R183</x:v>
      </x:c>
      <x:c r="B184" s="7" t="d">
        <x:v>2026-09-15T00:00:00.000Z</x:v>
      </x:c>
      <x:c r="C184" s="2" t="str">
        <x:v>Поиск</x:v>
      </x:c>
      <x:c r="D184" s="2" t="str">
        <x:v>использую</x:v>
      </x:c>
      <x:c r="E184" s="2" t="n">
        <x:v>2</x:v>
      </x:c>
      <x:c r="F184" s="2" t="str">
        <x:v>нет</x:v>
      </x:c>
      <x:c r="G184" s="2" t="str">
        <x:v>Не было слышно часть объяснения. Сохранил результат в отдельный файл. Задание 183.</x:v>
      </x:c>
      <x:c r="H184" s="2" t="str">
        <x:v>организация</x:v>
      </x:c>
      <x:c r="I184" s="2" t="str">
        <x:v>отрицательная</x:v>
      </x:c>
      <x:c r="J184" s="2" t="str">
        <x:v>Не было слышно часть объяснения</x:v>
      </x:c>
      <x:c r="K184" s="2" t="str">
        <x:v>нет</x:v>
      </x:c>
      <x:c r="L184" s="2"/>
      <x:c r="M184" s="2"/>
      <x:c r="N184" s="2"/>
      <x:c r="O184" s="2"/>
    </x:row>
    <x:row r="185" ht="26" customHeight="1">
      <x:c r="A185" s="2" t="str">
        <x:v>R184</x:v>
      </x:c>
      <x:c r="B185" s="7" t="d">
        <x:v>2026-09-16T00:00:00.000Z</x:v>
      </x:c>
      <x:c r="C185" s="2" t="str">
        <x:v>Таблицы</x:v>
      </x:c>
      <x:c r="D185" s="2" t="str">
        <x:v>с нуля</x:v>
      </x:c>
      <x:c r="E185" s="2" t="n">
        <x:v>3</x:v>
      </x:c>
      <x:c r="F185" s="2" t="str">
        <x:v>нет</x:v>
      </x:c>
      <x:c r="G185" s="2" t="str">
        <x:v>Нормально. Сохранил результат в отдельный файл. Задание 184.</x:v>
      </x:c>
      <x:c r="H185" s="2" t="str">
        <x:v>другое</x:v>
      </x:c>
      <x:c r="I185" s="2" t="str">
        <x:v>нейтральная</x:v>
      </x:c>
      <x:c r="J185" s="2" t="str">
        <x:v>Нормально</x:v>
      </x:c>
      <x:c r="K185" s="2" t="str">
        <x:v>да</x:v>
      </x:c>
      <x:c r="L185" s="2"/>
      <x:c r="M185" s="2"/>
      <x:c r="N185" s="2"/>
      <x:c r="O185" s="2"/>
    </x:row>
    <x:row r="186" ht="26" customHeight="1">
      <x:c r="A186" s="2" t="str">
        <x:v>R185</x:v>
      </x:c>
      <x:c r="B186" s="7" t="d">
        <x:v>2026-09-17T00:00:00.000Z</x:v>
      </x:c>
      <x:c r="C186" s="2" t="str">
        <x:v>Письма</x:v>
      </x:c>
      <x:c r="D186" s="2" t="str">
        <x:v>пробовал</x:v>
      </x:c>
      <x:c r="E186" s="2" t="n">
        <x:v>3</x:v>
      </x:c>
      <x:c r="F186" s="2" t="str">
        <x:v>нет</x:v>
      </x:c>
      <x:c r="G186" s="2" t="str">
        <x:v>Термины объяснили понятно, но часть шагов осталась неясной. Сохранил результат в отдельный файл. Задание 185.</x:v>
      </x:c>
      <x:c r="H186" s="2" t="str">
        <x:v>понятность</x:v>
      </x:c>
      <x:c r="I186" s="2" t="str">
        <x:v>смешанная</x:v>
      </x:c>
      <x:c r="J186" s="2" t="str">
        <x:v>Термины объяснили понятно, но часть шагов осталась неясной</x:v>
      </x:c>
      <x:c r="K186" s="2" t="str">
        <x:v>да</x:v>
      </x:c>
      <x:c r="L186" s="2"/>
      <x:c r="M186" s="2"/>
      <x:c r="N186" s="2"/>
      <x:c r="O186" s="2"/>
    </x:row>
    <x:row r="187" ht="26" customHeight="1">
      <x:c r="A187" s="2" t="str">
        <x:v>R186</x:v>
      </x:c>
      <x:c r="B187" s="7" t="d">
        <x:v>2026-09-18T00:00:00.000Z</x:v>
      </x:c>
      <x:c r="C187" s="2" t="str">
        <x:v>Презентации</x:v>
      </x:c>
      <x:c r="D187" s="2" t="str">
        <x:v>использую</x:v>
      </x:c>
      <x:c r="E187" s="2" t="n">
        <x:v>3</x:v>
      </x:c>
      <x:c r="F187" s="2" t="str">
        <x:v>нет</x:v>
      </x:c>
      <x:c r="G187" s="2" t="str">
        <x:v>Начало шло спокойно, а конец был слишком быстрым. Сохранил результат в отдельный файл. Задание 186.</x:v>
      </x:c>
      <x:c r="H187" s="2" t="str">
        <x:v>темп</x:v>
      </x:c>
      <x:c r="I187" s="2" t="str">
        <x:v>смешанная</x:v>
      </x:c>
      <x:c r="J187" s="2" t="str">
        <x:v>Начало шло спокойно, а конец был слишком быстрым</x:v>
      </x:c>
      <x:c r="K187" s="2" t="str">
        <x:v>да</x:v>
      </x:c>
      <x:c r="L187" s="2"/>
      <x:c r="M187" s="2"/>
      <x:c r="N187" s="2"/>
      <x:c r="O187" s="2"/>
    </x:row>
    <x:row r="188" ht="26" customHeight="1">
      <x:c r="A188" s="2" t="str">
        <x:v>R187</x:v>
      </x:c>
      <x:c r="B188" s="7" t="d">
        <x:v>2026-09-19T00:00:00.000Z</x:v>
      </x:c>
      <x:c r="C188" s="2" t="str">
        <x:v>Поиск</x:v>
      </x:c>
      <x:c r="D188" s="2" t="str">
        <x:v>с нуля</x:v>
      </x:c>
      <x:c r="E188" s="2" t="n">
        <x:v>4</x:v>
      </x:c>
      <x:c r="F188" s="2" t="str">
        <x:v>да</x:v>
      </x:c>
      <x:c r="G188" s="2" t="str">
        <x:v>Примеры полезные, но хочу задание для своей работы. Сохранил результат в отдельный файл. Задание 187.</x:v>
      </x:c>
      <x:c r="H188" s="2" t="str">
        <x:v>практика</x:v>
      </x:c>
      <x:c r="I188" s="2" t="str">
        <x:v>смешанная</x:v>
      </x:c>
      <x:c r="J188" s="2" t="str">
        <x:v>Примеры полезные, но хочу задание для своей работы</x:v>
      </x:c>
      <x:c r="K188" s="2" t="str">
        <x:v>да</x:v>
      </x:c>
      <x:c r="L188" s="2"/>
      <x:c r="M188" s="2"/>
      <x:c r="N188" s="2"/>
      <x:c r="O188" s="2"/>
    </x:row>
    <x:row r="189" ht="26" customHeight="1">
      <x:c r="A189" s="2" t="str">
        <x:v>R188</x:v>
      </x:c>
      <x:c r="B189" s="7" t="d">
        <x:v>2026-09-20T00:00:00.000Z</x:v>
      </x:c>
      <x:c r="C189" s="2" t="str">
        <x:v>Таблицы</x:v>
      </x:c>
      <x:c r="D189" s="2" t="str">
        <x:v>пробовал</x:v>
      </x:c>
      <x:c r="E189" s="2" t="n">
        <x:v>4</x:v>
      </x:c>
      <x:c r="F189" s="2" t="str">
        <x:v>да</x:v>
      </x:c>
      <x:c r="G189" s="2" t="str">
        <x:v>Сначала не смог войти, потом помог резервный способ. Сохранил результат в отдельный файл. Задание 188.</x:v>
      </x:c>
      <x:c r="H189" s="2" t="str">
        <x:v>доступ к сервисам</x:v>
      </x:c>
      <x:c r="I189" s="2" t="str">
        <x:v>смешанная</x:v>
      </x:c>
      <x:c r="J189" s="2" t="str">
        <x:v>Сначала не смог войти, потом помог резервный способ</x:v>
      </x:c>
      <x:c r="K189" s="2" t="str">
        <x:v>да</x:v>
      </x:c>
      <x:c r="L189" s="2"/>
      <x:c r="M189" s="2"/>
      <x:c r="N189" s="2"/>
      <x:c r="O189" s="2"/>
    </x:row>
    <x:row r="190" ht="26" customHeight="1">
      <x:c r="A190" s="2" t="str">
        <x:v>R189</x:v>
      </x:c>
      <x:c r="B190" s="7" t="d">
        <x:v>2026-09-21T00:00:00.000Z</x:v>
      </x:c>
      <x:c r="C190" s="2" t="str">
        <x:v>Письма</x:v>
      </x:c>
      <x:c r="D190" s="2" t="str">
        <x:v>использую</x:v>
      </x:c>
      <x:c r="E190" s="2" t="n">
        <x:v>3</x:v>
      </x:c>
      <x:c r="F190" s="2" t="str">
        <x:v>нет</x:v>
      </x:c>
      <x:c r="G190" s="2" t="str">
        <x:v>Бесплатного режима хватило для примера, но дальше есть ограничения. Сохранил результат в отдельный файл. Задание 189.</x:v>
      </x:c>
      <x:c r="H190" s="2" t="str">
        <x:v>стоимость сервисов</x:v>
      </x:c>
      <x:c r="I190" s="2" t="str">
        <x:v>смешанная</x:v>
      </x:c>
      <x:c r="J190" s="2" t="str">
        <x:v>Бесплатного режима хватило для примера, но дальше есть ограничения</x:v>
      </x:c>
      <x:c r="K190" s="2" t="str">
        <x:v>да</x:v>
      </x:c>
      <x:c r="L190" s="2"/>
      <x:c r="M190" s="2"/>
      <x:c r="N190" s="2"/>
      <x:c r="O190" s="2"/>
    </x:row>
    <x:row r="191" ht="26" customHeight="1">
      <x:c r="A191" s="2" t="str">
        <x:v>R190</x:v>
      </x:c>
      <x:c r="B191" s="7" t="d">
        <x:v>2026-09-22T00:00:00.000Z</x:v>
      </x:c>
      <x:c r="C191" s="2" t="str">
        <x:v>Презентации</x:v>
      </x:c>
      <x:c r="D191" s="2" t="str">
        <x:v>с нуля</x:v>
      </x:c>
      <x:c r="E191" s="2" t="n">
        <x:v>4</x:v>
      </x:c>
      <x:c r="F191" s="2" t="str">
        <x:v>да</x:v>
      </x:c>
      <x:c r="G191" s="2" t="str">
        <x:v>Запись полезная, хотелось бы добавить таймкоды. Сохранил результат в отдельный файл. Задание 190.</x:v>
      </x:c>
      <x:c r="H191" s="2" t="str">
        <x:v>материалы</x:v>
      </x:c>
      <x:c r="I191" s="2" t="str">
        <x:v>смешанная</x:v>
      </x:c>
      <x:c r="J191" s="2" t="str">
        <x:v>Запись полезная, хотелось бы добавить таймкоды</x:v>
      </x:c>
      <x:c r="K191" s="2" t="str">
        <x:v>да</x:v>
      </x:c>
      <x:c r="L191" s="2"/>
      <x:c r="M191" s="2"/>
      <x:c r="N191" s="2"/>
      <x:c r="O191" s="2"/>
    </x:row>
    <x:row r="192" ht="26" customHeight="1">
      <x:c r="A192" s="2" t="str">
        <x:v>R191</x:v>
      </x:c>
      <x:c r="B192" s="7" t="d">
        <x:v>2026-09-23T00:00:00.000Z</x:v>
      </x:c>
      <x:c r="C192" s="2" t="str">
        <x:v>Поиск</x:v>
      </x:c>
      <x:c r="D192" s="2" t="str">
        <x:v>пробовал</x:v>
      </x:c>
      <x:c r="E192" s="2" t="n">
        <x:v>3</x:v>
      </x:c>
      <x:c r="F192" s="2" t="str">
        <x:v>нет</x:v>
      </x:c>
      <x:c r="G192" s="2" t="str">
        <x:v>Подключился легко, но вопросы в чате остались без ответа. Сохранил результат в отдельный файл. Задание 191.</x:v>
      </x:c>
      <x:c r="H192" s="2" t="str">
        <x:v>организация</x:v>
      </x:c>
      <x:c r="I192" s="2" t="str">
        <x:v>смешанная</x:v>
      </x:c>
      <x:c r="J192" s="2" t="str">
        <x:v>Подключился легко, но вопросы в чате остались без ответа</x:v>
      </x:c>
      <x:c r="K192" s="2" t="str">
        <x:v>да</x:v>
      </x:c>
      <x:c r="L192" s="2"/>
      <x:c r="M192" s="2"/>
      <x:c r="N192" s="2"/>
      <x:c r="O192" s="2"/>
    </x:row>
    <x:row r="193" ht="26" customHeight="1">
      <x:c r="A193" s="2" t="str">
        <x:v>R192</x:v>
      </x:c>
      <x:c r="B193" s="7" t="d">
        <x:v>2026-09-24T00:00:00.000Z</x:v>
      </x:c>
      <x:c r="C193" s="2" t="str">
        <x:v>Таблицы</x:v>
      </x:c>
      <x:c r="D193" s="2" t="str">
        <x:v>использую</x:v>
      </x:c>
      <x:c r="E193" s="2" t="n">
        <x:v>3</x:v>
      </x:c>
      <x:c r="F193" s="2" t="str">
        <x:v>нет</x:v>
      </x:c>
      <x:c r="G193" s="2" t="str">
        <x:v>Пока не решил, где буду это применять. Сохранил результат в отдельный файл. Задание 192.</x:v>
      </x:c>
      <x:c r="H193" s="2" t="str">
        <x:v>другое</x:v>
      </x:c>
      <x:c r="I193" s="2" t="str">
        <x:v>нейтральная</x:v>
      </x:c>
      <x:c r="J193" s="2" t="str">
        <x:v>Пока не решил, где буду это применять</x:v>
      </x:c>
      <x:c r="K193" s="2" t="str">
        <x:v>да</x:v>
      </x:c>
      <x:c r="L193" s="2"/>
      <x:c r="M193" s="2"/>
      <x:c r="N193" s="2"/>
      <x:c r="O193" s="2"/>
    </x:row>
    <x:row r="194" ht="26" customHeight="1">
      <x:c r="A194" s="2" t="str">
        <x:v>R193</x:v>
      </x:c>
      <x:c r="B194" s="7" t="d">
        <x:v>2026-09-25T00:00:00.000Z</x:v>
      </x:c>
      <x:c r="C194" s="2" t="str">
        <x:v>Письма</x:v>
      </x:c>
      <x:c r="D194" s="2" t="str">
        <x:v>с нуля</x:v>
      </x:c>
      <x:c r="E194" s="2" t="n">
        <x:v>5</x:v>
      </x:c>
      <x:c r="F194" s="2" t="str">
        <x:v>да</x:v>
      </x:c>
      <x:c r="G194" s="2" t="str">
        <x:v>Объяснение стало понятным после примера. Обсудил пример с коллегой. Задание 193.</x:v>
      </x:c>
      <x:c r="H194" s="2" t="str">
        <x:v>понятность</x:v>
      </x:c>
      <x:c r="I194" s="2" t="str">
        <x:v>положительная</x:v>
      </x:c>
      <x:c r="J194" s="2" t="str">
        <x:v>Объяснение стало понятным после примера</x:v>
      </x:c>
      <x:c r="K194" s="2" t="str">
        <x:v>нет</x:v>
      </x:c>
      <x:c r="L194" s="2"/>
      <x:c r="M194" s="2"/>
      <x:c r="N194" s="2"/>
      <x:c r="O194" s="2"/>
    </x:row>
    <x:row r="195" ht="26" customHeight="1">
      <x:c r="A195" s="2" t="str">
        <x:v>R194</x:v>
      </x:c>
      <x:c r="B195" s="7" t="d">
        <x:v>2026-09-26T00:00:00.000Z</x:v>
      </x:c>
      <x:c r="C195" s="2" t="str">
        <x:v>Презентации</x:v>
      </x:c>
      <x:c r="D195" s="2" t="str">
        <x:v>пробовал</x:v>
      </x:c>
      <x:c r="E195" s="2" t="n">
        <x:v>5</x:v>
      </x:c>
      <x:c r="F195" s="2" t="str">
        <x:v>да</x:v>
      </x:c>
      <x:c r="G195" s="2" t="str">
        <x:v>Успевал повторять действия на экране. Обсудил пример с коллегой. Задание 194.</x:v>
      </x:c>
      <x:c r="H195" s="2" t="str">
        <x:v>темп</x:v>
      </x:c>
      <x:c r="I195" s="2" t="str">
        <x:v>положительная</x:v>
      </x:c>
      <x:c r="J195" s="2" t="str">
        <x:v>Успевал повторять действия на экране</x:v>
      </x:c>
      <x:c r="K195" s="2" t="str">
        <x:v>нет</x:v>
      </x:c>
      <x:c r="L195" s="2"/>
      <x:c r="M195" s="2"/>
      <x:c r="N195" s="2"/>
      <x:c r="O195" s="2"/>
    </x:row>
    <x:row r="196" ht="26" customHeight="1">
      <x:c r="A196" s="2" t="str">
        <x:v>R195</x:v>
      </x:c>
      <x:c r="B196" s="7" t="d">
        <x:v>2026-09-27T00:00:00.000Z</x:v>
      </x:c>
      <x:c r="C196" s="2" t="str">
        <x:v>Поиск</x:v>
      </x:c>
      <x:c r="D196" s="2" t="str">
        <x:v>использую</x:v>
      </x:c>
      <x:c r="E196" s="2" t="n">
        <x:v>5</x:v>
      </x:c>
      <x:c r="F196" s="2" t="str">
        <x:v>да</x:v>
      </x:c>
      <x:c r="G196" s="2" t="str">
        <x:v>Сам сделал письмо клиенту по образцу. Обсудил пример с коллегой. Задание 195.</x:v>
      </x:c>
      <x:c r="H196" s="2" t="str">
        <x:v>практика</x:v>
      </x:c>
      <x:c r="I196" s="2" t="str">
        <x:v>положительная</x:v>
      </x:c>
      <x:c r="J196" s="2" t="str">
        <x:v>Сам сделал письмо клиенту по образцу</x:v>
      </x:c>
      <x:c r="K196" s="2" t="str">
        <x:v>нет</x:v>
      </x:c>
      <x:c r="L196" s="2"/>
      <x:c r="M196" s="2"/>
      <x:c r="N196" s="2"/>
      <x:c r="O196" s="2"/>
    </x:row>
    <x:row r="197" ht="26" customHeight="1">
      <x:c r="A197" s="2" t="str">
        <x:v>R196</x:v>
      </x:c>
      <x:c r="B197" s="7" t="d">
        <x:v>2026-09-28T00:00:00.000Z</x:v>
      </x:c>
      <x:c r="C197" s="2" t="str">
        <x:v>Таблицы</x:v>
      </x:c>
      <x:c r="D197" s="2" t="str">
        <x:v>с нуля</x:v>
      </x:c>
      <x:c r="E197" s="2" t="n">
        <x:v>5</x:v>
      </x:c>
      <x:c r="F197" s="2" t="str">
        <x:v>да</x:v>
      </x:c>
      <x:c r="G197" s="2" t="str">
        <x:v>Получилось войти в сервис и выполнить задание. Обсудил пример с коллегой. Задание 196.</x:v>
      </x:c>
      <x:c r="H197" s="2" t="str">
        <x:v>доступ к сервисам</x:v>
      </x:c>
      <x:c r="I197" s="2" t="str">
        <x:v>положительная</x:v>
      </x:c>
      <x:c r="J197" s="2" t="str">
        <x:v>Получилось войти в сервис и выполнить задание</x:v>
      </x:c>
      <x:c r="K197" s="2" t="str">
        <x:v>нет</x:v>
      </x:c>
      <x:c r="L197" s="2"/>
      <x:c r="M197" s="2"/>
      <x:c r="N197" s="2"/>
      <x:c r="O197" s="2"/>
    </x:row>
    <x:row r="198" ht="26" customHeight="1">
      <x:c r="A198" s="2" t="str">
        <x:v>R197</x:v>
      </x:c>
      <x:c r="B198" s="7" t="d">
        <x:v>2026-09-01T00:00:00.000Z</x:v>
      </x:c>
      <x:c r="C198" s="2" t="str">
        <x:v>Письма</x:v>
      </x:c>
      <x:c r="D198" s="2" t="str">
        <x:v>пробовал</x:v>
      </x:c>
      <x:c r="E198" s="2" t="n">
        <x:v>5</x:v>
      </x:c>
      <x:c r="F198" s="2" t="str">
        <x:v>да</x:v>
      </x:c>
      <x:c r="G198" s="2" t="str">
        <x:v>Нашёл подходящий бесплатный инструмент. Обсудил пример с коллегой. Задание 197.</x:v>
      </x:c>
      <x:c r="H198" s="2" t="str">
        <x:v>стоимость сервисов</x:v>
      </x:c>
      <x:c r="I198" s="2" t="str">
        <x:v>положительная</x:v>
      </x:c>
      <x:c r="J198" s="2" t="str">
        <x:v>Нашёл подходящий бесплатный инструмент</x:v>
      </x:c>
      <x:c r="K198" s="2" t="str">
        <x:v>нет</x:v>
      </x:c>
      <x:c r="L198" s="2"/>
      <x:c r="M198" s="2"/>
      <x:c r="N198" s="2"/>
      <x:c r="O198" s="2"/>
    </x:row>
    <x:row r="199" ht="26" customHeight="1">
      <x:c r="A199" s="2" t="str">
        <x:v>R198</x:v>
      </x:c>
      <x:c r="B199" s="7" t="d">
        <x:v>2026-09-02T00:00:00.000Z</x:v>
      </x:c>
      <x:c r="C199" s="2" t="str">
        <x:v>Презентации</x:v>
      </x:c>
      <x:c r="D199" s="2" t="str">
        <x:v>использую</x:v>
      </x:c>
      <x:c r="E199" s="2" t="n">
        <x:v>5</x:v>
      </x:c>
      <x:c r="F199" s="2" t="str">
        <x:v>да</x:v>
      </x:c>
      <x:c r="G199" s="2" t="str">
        <x:v>Сохранил памятку и повторил по ней шаги. Обсудил пример с коллегой. Задание 198.</x:v>
      </x:c>
      <x:c r="H199" s="2" t="str">
        <x:v>материалы</x:v>
      </x:c>
      <x:c r="I199" s="2" t="str">
        <x:v>положительная</x:v>
      </x:c>
      <x:c r="J199" s="2" t="str">
        <x:v>Сохранил памятку и повторил по ней шаги</x:v>
      </x:c>
      <x:c r="K199" s="2" t="str">
        <x:v>нет</x:v>
      </x:c>
      <x:c r="L199" s="2"/>
      <x:c r="M199" s="2"/>
      <x:c r="N199" s="2"/>
      <x:c r="O199" s="2"/>
    </x:row>
    <x:row r="200" ht="26" customHeight="1">
      <x:c r="A200" s="2" t="str">
        <x:v>R199</x:v>
      </x:c>
      <x:c r="B200" s="7" t="d">
        <x:v>2026-09-03T00:00:00.000Z</x:v>
      </x:c>
      <x:c r="C200" s="2" t="str">
        <x:v>Поиск</x:v>
      </x:c>
      <x:c r="D200" s="2" t="str">
        <x:v>с нуля</x:v>
      </x:c>
      <x:c r="E200" s="2" t="n">
        <x:v>5</x:v>
      </x:c>
      <x:c r="F200" s="2" t="str">
        <x:v>да</x:v>
      </x:c>
      <x:c r="G200" s="2" t="str">
        <x:v>Ссылка пришла вовремя, звук был хороший. Обсудил пример с коллегой. Задание 199.</x:v>
      </x:c>
      <x:c r="H200" s="2" t="str">
        <x:v>организация</x:v>
      </x:c>
      <x:c r="I200" s="2" t="str">
        <x:v>положительная</x:v>
      </x:c>
      <x:c r="J200" s="2" t="str">
        <x:v>Ссылка пришла вовремя, звук был хороший</x:v>
      </x:c>
      <x:c r="K200" s="2" t="str">
        <x:v>нет</x:v>
      </x:c>
      <x:c r="L200" s="2"/>
      <x:c r="M200" s="2"/>
      <x:c r="N200" s="2"/>
      <x:c r="O200" s="2"/>
    </x:row>
    <x:row r="201" ht="26" customHeight="1">
      <x:c r="A201" s="2" t="str">
        <x:v>R200</x:v>
      </x:c>
      <x:c r="B201" s="7" t="d">
        <x:v>2026-09-04T00:00:00.000Z</x:v>
      </x:c>
      <x:c r="C201" s="2" t="str">
        <x:v>Таблицы</x:v>
      </x:c>
      <x:c r="D201" s="2" t="str">
        <x:v>пробовал</x:v>
      </x:c>
      <x:c r="E201" s="2" t="n">
        <x:v>5</x:v>
      </x:c>
      <x:c r="F201" s="2" t="str">
        <x:v>да</x:v>
      </x:c>
      <x:c r="G201" s="2" t="str">
        <x:v>Спасибо за занятие. Обсудил пример с коллегой. Задание 200.</x:v>
      </x:c>
      <x:c r="H201" s="2" t="str">
        <x:v>другое</x:v>
      </x:c>
      <x:c r="I201" s="2" t="str">
        <x:v>положительная</x:v>
      </x:c>
      <x:c r="J201" s="2" t="str">
        <x:v>Спасибо за занятие</x:v>
      </x:c>
      <x:c r="K201" s="2" t="str">
        <x:v>нет</x:v>
      </x:c>
      <x:c r="L201" s="2"/>
      <x:c r="M201" s="2"/>
      <x:c r="N201" s="2"/>
      <x:c r="O201" s="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19212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4" hidden="0" customWidth="1"/>
    <x:col min="3" max="3" width="58" hidden="0" customWidth="1"/>
    <x:col min="4" max="4" width="20" hidden="0" customWidth="1"/>
    <x:col min="5" max="5" width="24" hidden="0" customWidth="1"/>
    <x:col min="6" max="6" width="20" hidden="0" customWidth="1"/>
  </x:cols>
  <x:sheetData>
    <x:row r="1" ht="34" customHeight="1">
      <x:c r="A1" s="6" t="str">
        <x:v>ID</x:v>
      </x:c>
      <x:c r="B1" s="6" t="str">
        <x:v>Дата</x:v>
      </x:c>
      <x:c r="C1" s="6" t="str">
        <x:v>Назначение</x:v>
      </x:c>
      <x:c r="D1" s="6" t="str">
        <x:v>Сумма_руб</x:v>
      </x:c>
      <x:c r="E1" s="6" t="str">
        <x:v>Контрагент</x:v>
      </x:c>
      <x:c r="F1" s="6" t="str">
        <x:v>Канал</x:v>
      </x:c>
    </x:row>
    <x:row r="2" ht="26" customHeight="1">
      <x:c r="A2" s="2" t="str">
        <x:v>B001</x:v>
      </x:c>
      <x:c r="B2" s="7" t="d">
        <x:v>2026-07-01T00:00:00.000Z</x:v>
      </x:c>
      <x:c r="C2" s="2" t="str">
        <x:v>Оплата консультации, заказ 700</x:v>
      </x:c>
      <x:c r="D2" s="8" t="n">
        <x:v>5000</x:v>
      </x:c>
      <x:c r="E2" s="2" t="str">
        <x:v>Клиент 01</x:v>
      </x:c>
      <x:c r="F2" s="2" t="str">
        <x:v>Сайт</x:v>
      </x:c>
    </x:row>
    <x:row r="3" ht="26" customHeight="1">
      <x:c r="A3" s="2" t="str">
        <x:v>B002</x:v>
      </x:c>
      <x:c r="B3" s="7" t="d">
        <x:v>2026-07-02T00:00:00.000Z</x:v>
      </x:c>
      <x:c r="C3" s="2" t="str">
        <x:v>Оплата консультации, заказ 701</x:v>
      </x:c>
      <x:c r="D3" s="8" t="n">
        <x:v>6500</x:v>
      </x:c>
      <x:c r="E3" s="2" t="str">
        <x:v>Клиент 02</x:v>
      </x:c>
      <x:c r="F3" s="2" t="str">
        <x:v>Рекомендации</x:v>
      </x:c>
    </x:row>
    <x:row r="4" ht="26" customHeight="1">
      <x:c r="A4" s="2" t="str">
        <x:v>B003</x:v>
      </x:c>
      <x:c r="B4" s="7" t="d">
        <x:v>2026-07-03T00:00:00.000Z</x:v>
      </x:c>
      <x:c r="C4" s="2" t="str">
        <x:v>Оплата консультации, заказ 702</x:v>
      </x:c>
      <x:c r="D4" s="8" t="n">
        <x:v>8000</x:v>
      </x:c>
      <x:c r="E4" s="2" t="str">
        <x:v>Клиент 03</x:v>
      </x:c>
      <x:c r="F4" s="2" t="str">
        <x:v>Соцсети</x:v>
      </x:c>
    </x:row>
    <x:row r="5" ht="26" customHeight="1">
      <x:c r="A5" s="2" t="str">
        <x:v>B004</x:v>
      </x:c>
      <x:c r="B5" s="7" t="d">
        <x:v>2026-07-04T00:00:00.000Z</x:v>
      </x:c>
      <x:c r="C5" s="2" t="str">
        <x:v>Оплата консультации, заказ 703</x:v>
      </x:c>
      <x:c r="D5" s="8" t="n">
        <x:v>9500</x:v>
      </x:c>
      <x:c r="E5" s="2" t="str">
        <x:v>Клиент 04</x:v>
      </x:c>
      <x:c r="F5" s="2" t="str">
        <x:v>Сайт</x:v>
      </x:c>
    </x:row>
    <x:row r="6" ht="26" customHeight="1">
      <x:c r="A6" s="2" t="str">
        <x:v>B005</x:v>
      </x:c>
      <x:c r="B6" s="7" t="d">
        <x:v>2026-07-05T00:00:00.000Z</x:v>
      </x:c>
      <x:c r="C6" s="2" t="str">
        <x:v>Оплата консультации, заказ 704</x:v>
      </x:c>
      <x:c r="D6" s="8" t="n">
        <x:v>5000</x:v>
      </x:c>
      <x:c r="E6" s="2" t="str">
        <x:v>Клиент 05</x:v>
      </x:c>
      <x:c r="F6" s="2" t="str">
        <x:v>Рекомендации</x:v>
      </x:c>
    </x:row>
    <x:row r="7" ht="26" customHeight="1">
      <x:c r="A7" s="2" t="str">
        <x:v>B006</x:v>
      </x:c>
      <x:c r="B7" s="7" t="d">
        <x:v>2026-07-06T00:00:00.000Z</x:v>
      </x:c>
      <x:c r="C7" s="2" t="str">
        <x:v>Оплата консультации, заказ 705</x:v>
      </x:c>
      <x:c r="D7" s="8" t="n">
        <x:v>6500</x:v>
      </x:c>
      <x:c r="E7" s="2" t="str">
        <x:v>Клиент 06</x:v>
      </x:c>
      <x:c r="F7" s="2" t="str">
        <x:v>Соцсети</x:v>
      </x:c>
    </x:row>
    <x:row r="8" ht="26" customHeight="1">
      <x:c r="A8" s="2" t="str">
        <x:v>B007</x:v>
      </x:c>
      <x:c r="B8" s="7" t="d">
        <x:v>2026-07-07T00:00:00.000Z</x:v>
      </x:c>
      <x:c r="C8" s="2" t="str">
        <x:v>Оплата консультации, заказ 706</x:v>
      </x:c>
      <x:c r="D8" s="8" t="n">
        <x:v>8000</x:v>
      </x:c>
      <x:c r="E8" s="2" t="str">
        <x:v>Клиент 07</x:v>
      </x:c>
      <x:c r="F8" s="2" t="str">
        <x:v>Сайт</x:v>
      </x:c>
    </x:row>
    <x:row r="9" ht="26" customHeight="1">
      <x:c r="A9" s="2" t="str">
        <x:v>B008</x:v>
      </x:c>
      <x:c r="B9" s="7" t="d">
        <x:v>2026-07-08T00:00:00.000Z</x:v>
      </x:c>
      <x:c r="C9" s="2" t="str">
        <x:v>Оплата консультации, заказ 707</x:v>
      </x:c>
      <x:c r="D9" s="8" t="n">
        <x:v>9500</x:v>
      </x:c>
      <x:c r="E9" s="2" t="str">
        <x:v>Клиент 08</x:v>
      </x:c>
      <x:c r="F9" s="2" t="str">
        <x:v>Рекомендации</x:v>
      </x:c>
    </x:row>
    <x:row r="10" ht="26" customHeight="1">
      <x:c r="A10" s="2" t="str">
        <x:v>B009</x:v>
      </x:c>
      <x:c r="B10" s="7" t="d">
        <x:v>2026-07-09T00:00:00.000Z</x:v>
      </x:c>
      <x:c r="C10" s="2" t="str">
        <x:v>Оплата консультации, заказ 708</x:v>
      </x:c>
      <x:c r="D10" s="8" t="n">
        <x:v>5000</x:v>
      </x:c>
      <x:c r="E10" s="2" t="str">
        <x:v>Клиент 09</x:v>
      </x:c>
      <x:c r="F10" s="2" t="str">
        <x:v>Соцсети</x:v>
      </x:c>
    </x:row>
    <x:row r="11" ht="26" customHeight="1">
      <x:c r="A11" s="2" t="str">
        <x:v>B010</x:v>
      </x:c>
      <x:c r="B11" s="7" t="d">
        <x:v>2026-07-10T00:00:00.000Z</x:v>
      </x:c>
      <x:c r="C11" s="2" t="str">
        <x:v>Оплата консультации, заказ 709</x:v>
      </x:c>
      <x:c r="D11" s="8" t="n">
        <x:v>6500</x:v>
      </x:c>
      <x:c r="E11" s="2" t="str">
        <x:v>Клиент 10</x:v>
      </x:c>
      <x:c r="F11" s="2" t="str">
        <x:v>Сайт</x:v>
      </x:c>
    </x:row>
    <x:row r="12" ht="26" customHeight="1">
      <x:c r="A12" s="2" t="str">
        <x:v>B011</x:v>
      </x:c>
      <x:c r="B12" s="7" t="d">
        <x:v>2026-07-11T00:00:00.000Z</x:v>
      </x:c>
      <x:c r="C12" s="2" t="str">
        <x:v>Оплата консультации, заказ 710</x:v>
      </x:c>
      <x:c r="D12" s="8" t="n">
        <x:v>8000</x:v>
      </x:c>
      <x:c r="E12" s="2" t="str">
        <x:v>Клиент 11</x:v>
      </x:c>
      <x:c r="F12" s="2" t="str">
        <x:v>Рекомендации</x:v>
      </x:c>
    </x:row>
    <x:row r="13" ht="26" customHeight="1">
      <x:c r="A13" s="2" t="str">
        <x:v>B012</x:v>
      </x:c>
      <x:c r="B13" s="7" t="d">
        <x:v>2026-07-12T00:00:00.000Z</x:v>
      </x:c>
      <x:c r="C13" s="2" t="str">
        <x:v>Оплата консультации, заказ 711</x:v>
      </x:c>
      <x:c r="D13" s="8" t="n">
        <x:v>9500</x:v>
      </x:c>
      <x:c r="E13" s="2" t="str">
        <x:v>Клиент 12</x:v>
      </x:c>
      <x:c r="F13" s="2" t="str">
        <x:v>Соцсети</x:v>
      </x:c>
    </x:row>
    <x:row r="14" ht="26" customHeight="1">
      <x:c r="A14" s="2" t="str">
        <x:v>B013</x:v>
      </x:c>
      <x:c r="B14" s="7" t="d">
        <x:v>2026-07-13T00:00:00.000Z</x:v>
      </x:c>
      <x:c r="C14" s="2" t="str">
        <x:v>Возврат клиенту по заказу 700</x:v>
      </x:c>
      <x:c r="D14" s="8" t="n">
        <x:v>-1800</x:v>
      </x:c>
      <x:c r="E14" s="2" t="str">
        <x:v>Клиент 01</x:v>
      </x:c>
      <x:c r="F14" s="2" t="str">
        <x:v>Сайт</x:v>
      </x:c>
    </x:row>
    <x:row r="15" ht="26" customHeight="1">
      <x:c r="A15" s="2" t="str">
        <x:v>B014</x:v>
      </x:c>
      <x:c r="B15" s="7" t="d">
        <x:v>2026-07-14T00:00:00.000Z</x:v>
      </x:c>
      <x:c r="C15" s="2" t="str">
        <x:v>Возврат клиенту по заказу 701</x:v>
      </x:c>
      <x:c r="D15" s="8" t="n">
        <x:v>-2200</x:v>
      </x:c>
      <x:c r="E15" s="2" t="str">
        <x:v>Клиент 02</x:v>
      </x:c>
      <x:c r="F15" s="2" t="str">
        <x:v>Сайт</x:v>
      </x:c>
    </x:row>
    <x:row r="16" ht="26" customHeight="1">
      <x:c r="A16" s="2" t="str">
        <x:v>B015</x:v>
      </x:c>
      <x:c r="B16" s="7" t="d">
        <x:v>2026-07-15T00:00:00.000Z</x:v>
      </x:c>
      <x:c r="C16" s="2" t="str">
        <x:v>Оплата подрядчику за подготовку материалов 1</x:v>
      </x:c>
      <x:c r="D16" s="8" t="n">
        <x:v>-2200</x:v>
      </x:c>
      <x:c r="E16" s="2" t="str">
        <x:v>Подрядчик 1</x:v>
      </x:c>
      <x:c r="F16" s="2" t="str">
        <x:v>Банк</x:v>
      </x:c>
    </x:row>
    <x:row r="17" ht="26" customHeight="1">
      <x:c r="A17" s="2" t="str">
        <x:v>B016</x:v>
      </x:c>
      <x:c r="B17" s="7" t="d">
        <x:v>2026-07-16T00:00:00.000Z</x:v>
      </x:c>
      <x:c r="C17" s="2" t="str">
        <x:v>Оплата подрядчику за подготовку материалов 2</x:v>
      </x:c>
      <x:c r="D17" s="8" t="n">
        <x:v>-2550</x:v>
      </x:c>
      <x:c r="E17" s="2" t="str">
        <x:v>Подрядчик 2</x:v>
      </x:c>
      <x:c r="F17" s="2" t="str">
        <x:v>Банк</x:v>
      </x:c>
    </x:row>
    <x:row r="18" ht="26" customHeight="1">
      <x:c r="A18" s="2" t="str">
        <x:v>B017</x:v>
      </x:c>
      <x:c r="B18" s="7" t="d">
        <x:v>2026-07-17T00:00:00.000Z</x:v>
      </x:c>
      <x:c r="C18" s="2" t="str">
        <x:v>Оплата подрядчику за подготовку материалов 3</x:v>
      </x:c>
      <x:c r="D18" s="8" t="n">
        <x:v>-2900</x:v>
      </x:c>
      <x:c r="E18" s="2" t="str">
        <x:v>Подрядчик 3</x:v>
      </x:c>
      <x:c r="F18" s="2" t="str">
        <x:v>Банк</x:v>
      </x:c>
    </x:row>
    <x:row r="19" ht="26" customHeight="1">
      <x:c r="A19" s="2" t="str">
        <x:v>B018</x:v>
      </x:c>
      <x:c r="B19" s="7" t="d">
        <x:v>2026-07-18T00:00:00.000Z</x:v>
      </x:c>
      <x:c r="C19" s="2" t="str">
        <x:v>Оплата подрядчику за подготовку материалов 4</x:v>
      </x:c>
      <x:c r="D19" s="8" t="n">
        <x:v>-3250</x:v>
      </x:c>
      <x:c r="E19" s="2" t="str">
        <x:v>Подрядчик 4</x:v>
      </x:c>
      <x:c r="F19" s="2" t="str">
        <x:v>Банк</x:v>
      </x:c>
    </x:row>
    <x:row r="20" ht="26" customHeight="1">
      <x:c r="A20" s="2" t="str">
        <x:v>B019</x:v>
      </x:c>
      <x:c r="B20" s="7" t="d">
        <x:v>2026-07-19T00:00:00.000Z</x:v>
      </x:c>
      <x:c r="C20" s="2" t="str">
        <x:v>Рекламная кампания 1</x:v>
      </x:c>
      <x:c r="D20" s="8" t="n">
        <x:v>-3500</x:v>
      </x:c>
      <x:c r="E20" s="2" t="str">
        <x:v>Рекламная площадка</x:v>
      </x:c>
      <x:c r="F20" s="2" t="str">
        <x:v>Банк</x:v>
      </x:c>
    </x:row>
    <x:row r="21" ht="26" customHeight="1">
      <x:c r="A21" s="2" t="str">
        <x:v>B020</x:v>
      </x:c>
      <x:c r="B21" s="7" t="d">
        <x:v>2026-07-20T00:00:00.000Z</x:v>
      </x:c>
      <x:c r="C21" s="2" t="str">
        <x:v>Рекламная кампания 2</x:v>
      </x:c>
      <x:c r="D21" s="8" t="n">
        <x:v>-3750</x:v>
      </x:c>
      <x:c r="E21" s="2" t="str">
        <x:v>Рекламная площадка</x:v>
      </x:c>
      <x:c r="F21" s="2" t="str">
        <x:v>Банк</x:v>
      </x:c>
    </x:row>
    <x:row r="22" ht="26" customHeight="1">
      <x:c r="A22" s="2" t="str">
        <x:v>B021</x:v>
      </x:c>
      <x:c r="B22" s="7" t="d">
        <x:v>2026-07-21T00:00:00.000Z</x:v>
      </x:c>
      <x:c r="C22" s="2" t="str">
        <x:v>Рекламная кампания 3</x:v>
      </x:c>
      <x:c r="D22" s="8" t="n">
        <x:v>-4000</x:v>
      </x:c>
      <x:c r="E22" s="2" t="str">
        <x:v>Рекламная площадка</x:v>
      </x:c>
      <x:c r="F22" s="2" t="str">
        <x:v>Банк</x:v>
      </x:c>
    </x:row>
    <x:row r="23" ht="26" customHeight="1">
      <x:c r="A23" s="2" t="str">
        <x:v>B022</x:v>
      </x:c>
      <x:c r="B23" s="7" t="d">
        <x:v>2026-07-22T00:00:00.000Z</x:v>
      </x:c>
      <x:c r="C23" s="2" t="str">
        <x:v>Подписка на рабочий сервис 1</x:v>
      </x:c>
      <x:c r="D23" s="8" t="n">
        <x:v>-900</x:v>
      </x:c>
      <x:c r="E23" s="2" t="str">
        <x:v>Рабочий сервис</x:v>
      </x:c>
      <x:c r="F23" s="2" t="str">
        <x:v>Карта</x:v>
      </x:c>
    </x:row>
    <x:row r="24" ht="26" customHeight="1">
      <x:c r="A24" s="2" t="str">
        <x:v>B023</x:v>
      </x:c>
      <x:c r="B24" s="7" t="d">
        <x:v>2026-07-23T00:00:00.000Z</x:v>
      </x:c>
      <x:c r="C24" s="2" t="str">
        <x:v>Подписка на рабочий сервис 2</x:v>
      </x:c>
      <x:c r="D24" s="8" t="n">
        <x:v>-1300</x:v>
      </x:c>
      <x:c r="E24" s="2" t="str">
        <x:v>Рабочий сервис</x:v>
      </x:c>
      <x:c r="F24" s="2" t="str">
        <x:v>Карта</x:v>
      </x:c>
    </x:row>
    <x:row r="25" ht="26" customHeight="1">
      <x:c r="A25" s="2" t="str">
        <x:v>B024</x:v>
      </x:c>
      <x:c r="B25" s="7" t="d">
        <x:v>2026-07-24T00:00:00.000Z</x:v>
      </x:c>
      <x:c r="C25" s="2" t="str">
        <x:v>Перевод на свой личный счёт</x:v>
      </x:c>
      <x:c r="D25" s="8" t="n">
        <x:v>-12000</x:v>
      </x:c>
      <x:c r="E25" s="2" t="str">
        <x:v>Собственный счёт</x:v>
      </x:c>
      <x:c r="F25" s="2" t="str">
        <x:v>Банк</x:v>
      </x:c>
    </x:row>
    <x:row r="26" ht="26" customHeight="1">
      <x:c r="A26" s="2" t="str">
        <x:v>B025</x:v>
      </x:c>
      <x:c r="B26" s="7" t="d">
        <x:v>2026-07-25T00:00:00.000Z</x:v>
      </x:c>
      <x:c r="C26" s="2" t="str">
        <x:v>Пополнение от владельца</x:v>
      </x:c>
      <x:c r="D26" s="8" t="n">
        <x:v>20000</x:v>
      </x:c>
      <x:c r="E26" s="2" t="str">
        <x:v>Владелец</x:v>
      </x:c>
      <x:c r="F26" s="2" t="str">
        <x:v>Банк</x:v>
      </x:c>
    </x:row>
    <x:row r="27" ht="26" customHeight="1">
      <x:c r="A27" s="2" t="str">
        <x:v>B026</x:v>
      </x:c>
      <x:c r="B27" s="7" t="d">
        <x:v>2026-07-26T00:00:00.000Z</x:v>
      </x:c>
      <x:c r="C27" s="2" t="str">
        <x:v>Оплата по реквизитам без назначения</x:v>
      </x:c>
      <x:c r="D27" s="8" t="n">
        <x:v>-1700</x:v>
      </x:c>
      <x:c r="E27" s="2" t="str">
        <x:v>Контрагент не указан</x:v>
      </x:c>
      <x:c r="F27" s="2" t="str">
        <x:v>Банк</x:v>
      </x:c>
    </x:row>
    <x:row r="28" ht="26" customHeight="1">
      <x:c r="A28" s="2" t="str">
        <x:v>B027</x:v>
      </x:c>
      <x:c r="B28" s="7" t="d">
        <x:v>2026-08-01T00:00:00.000Z</x:v>
      </x:c>
      <x:c r="C28" s="2" t="str">
        <x:v>Оплата консультации, заказ 800</x:v>
      </x:c>
      <x:c r="D28" s="8" t="n">
        <x:v>6000</x:v>
      </x:c>
      <x:c r="E28" s="2" t="str">
        <x:v>Клиент 01</x:v>
      </x:c>
      <x:c r="F28" s="2" t="str">
        <x:v>Сайт</x:v>
      </x:c>
    </x:row>
    <x:row r="29" ht="26" customHeight="1">
      <x:c r="A29" s="2" t="str">
        <x:v>B028</x:v>
      </x:c>
      <x:c r="B29" s="7" t="d">
        <x:v>2026-08-02T00:00:00.000Z</x:v>
      </x:c>
      <x:c r="C29" s="2" t="str">
        <x:v>Оплата консультации, заказ 801</x:v>
      </x:c>
      <x:c r="D29" s="8" t="n">
        <x:v>7500</x:v>
      </x:c>
      <x:c r="E29" s="2" t="str">
        <x:v>Клиент 02</x:v>
      </x:c>
      <x:c r="F29" s="2" t="str">
        <x:v>Рекомендации</x:v>
      </x:c>
    </x:row>
    <x:row r="30" ht="26" customHeight="1">
      <x:c r="A30" s="2" t="str">
        <x:v>B029</x:v>
      </x:c>
      <x:c r="B30" s="7" t="d">
        <x:v>2026-08-03T00:00:00.000Z</x:v>
      </x:c>
      <x:c r="C30" s="2" t="str">
        <x:v>Оплата консультации, заказ 802</x:v>
      </x:c>
      <x:c r="D30" s="8" t="n">
        <x:v>9000</x:v>
      </x:c>
      <x:c r="E30" s="2" t="str">
        <x:v>Клиент 03</x:v>
      </x:c>
      <x:c r="F30" s="2" t="str">
        <x:v>Соцсети</x:v>
      </x:c>
    </x:row>
    <x:row r="31" ht="26" customHeight="1">
      <x:c r="A31" s="2" t="str">
        <x:v>B030</x:v>
      </x:c>
      <x:c r="B31" s="7" t="d">
        <x:v>2026-08-04T00:00:00.000Z</x:v>
      </x:c>
      <x:c r="C31" s="2" t="str">
        <x:v>Оплата консультации, заказ 803</x:v>
      </x:c>
      <x:c r="D31" s="8" t="n">
        <x:v>10500</x:v>
      </x:c>
      <x:c r="E31" s="2" t="str">
        <x:v>Клиент 04</x:v>
      </x:c>
      <x:c r="F31" s="2" t="str">
        <x:v>Сайт</x:v>
      </x:c>
    </x:row>
    <x:row r="32" ht="26" customHeight="1">
      <x:c r="A32" s="2" t="str">
        <x:v>B031</x:v>
      </x:c>
      <x:c r="B32" s="7" t="d">
        <x:v>2026-08-05T00:00:00.000Z</x:v>
      </x:c>
      <x:c r="C32" s="2" t="str">
        <x:v>Оплата консультации, заказ 804</x:v>
      </x:c>
      <x:c r="D32" s="8" t="n">
        <x:v>6000</x:v>
      </x:c>
      <x:c r="E32" s="2" t="str">
        <x:v>Клиент 05</x:v>
      </x:c>
      <x:c r="F32" s="2" t="str">
        <x:v>Рекомендации</x:v>
      </x:c>
    </x:row>
    <x:row r="33" ht="26" customHeight="1">
      <x:c r="A33" s="2" t="str">
        <x:v>B032</x:v>
      </x:c>
      <x:c r="B33" s="7" t="d">
        <x:v>2026-08-06T00:00:00.000Z</x:v>
      </x:c>
      <x:c r="C33" s="2" t="str">
        <x:v>Оплата консультации, заказ 805</x:v>
      </x:c>
      <x:c r="D33" s="8" t="n">
        <x:v>7500</x:v>
      </x:c>
      <x:c r="E33" s="2" t="str">
        <x:v>Клиент 06</x:v>
      </x:c>
      <x:c r="F33" s="2" t="str">
        <x:v>Соцсети</x:v>
      </x:c>
    </x:row>
    <x:row r="34" ht="26" customHeight="1">
      <x:c r="A34" s="2" t="str">
        <x:v>B033</x:v>
      </x:c>
      <x:c r="B34" s="7" t="d">
        <x:v>2026-08-07T00:00:00.000Z</x:v>
      </x:c>
      <x:c r="C34" s="2" t="str">
        <x:v>Оплата консультации, заказ 806</x:v>
      </x:c>
      <x:c r="D34" s="8" t="n">
        <x:v>9000</x:v>
      </x:c>
      <x:c r="E34" s="2" t="str">
        <x:v>Клиент 07</x:v>
      </x:c>
      <x:c r="F34" s="2" t="str">
        <x:v>Сайт</x:v>
      </x:c>
    </x:row>
    <x:row r="35" ht="26" customHeight="1">
      <x:c r="A35" s="2" t="str">
        <x:v>B034</x:v>
      </x:c>
      <x:c r="B35" s="7" t="d">
        <x:v>2026-08-08T00:00:00.000Z</x:v>
      </x:c>
      <x:c r="C35" s="2" t="str">
        <x:v>Оплата консультации, заказ 807</x:v>
      </x:c>
      <x:c r="D35" s="8" t="n">
        <x:v>10500</x:v>
      </x:c>
      <x:c r="E35" s="2" t="str">
        <x:v>Клиент 08</x:v>
      </x:c>
      <x:c r="F35" s="2" t="str">
        <x:v>Рекомендации</x:v>
      </x:c>
    </x:row>
    <x:row r="36" ht="26" customHeight="1">
      <x:c r="A36" s="2" t="str">
        <x:v>B035</x:v>
      </x:c>
      <x:c r="B36" s="7" t="d">
        <x:v>2026-08-09T00:00:00.000Z</x:v>
      </x:c>
      <x:c r="C36" s="2" t="str">
        <x:v>Оплата консультации, заказ 808</x:v>
      </x:c>
      <x:c r="D36" s="8" t="n">
        <x:v>6000</x:v>
      </x:c>
      <x:c r="E36" s="2" t="str">
        <x:v>Клиент 09</x:v>
      </x:c>
      <x:c r="F36" s="2" t="str">
        <x:v>Соцсети</x:v>
      </x:c>
    </x:row>
    <x:row r="37" ht="26" customHeight="1">
      <x:c r="A37" s="2" t="str">
        <x:v>B036</x:v>
      </x:c>
      <x:c r="B37" s="7" t="d">
        <x:v>2026-08-10T00:00:00.000Z</x:v>
      </x:c>
      <x:c r="C37" s="2" t="str">
        <x:v>Оплата консультации, заказ 809</x:v>
      </x:c>
      <x:c r="D37" s="8" t="n">
        <x:v>7500</x:v>
      </x:c>
      <x:c r="E37" s="2" t="str">
        <x:v>Клиент 10</x:v>
      </x:c>
      <x:c r="F37" s="2" t="str">
        <x:v>Сайт</x:v>
      </x:c>
    </x:row>
    <x:row r="38" ht="26" customHeight="1">
      <x:c r="A38" s="2" t="str">
        <x:v>B037</x:v>
      </x:c>
      <x:c r="B38" s="7" t="d">
        <x:v>2026-08-11T00:00:00.000Z</x:v>
      </x:c>
      <x:c r="C38" s="2" t="str">
        <x:v>Оплата консультации, заказ 810</x:v>
      </x:c>
      <x:c r="D38" s="8" t="n">
        <x:v>9000</x:v>
      </x:c>
      <x:c r="E38" s="2" t="str">
        <x:v>Клиент 11</x:v>
      </x:c>
      <x:c r="F38" s="2" t="str">
        <x:v>Рекомендации</x:v>
      </x:c>
    </x:row>
    <x:row r="39" ht="26" customHeight="1">
      <x:c r="A39" s="2" t="str">
        <x:v>B038</x:v>
      </x:c>
      <x:c r="B39" s="7" t="d">
        <x:v>2026-08-12T00:00:00.000Z</x:v>
      </x:c>
      <x:c r="C39" s="2" t="str">
        <x:v>Оплата консультации, заказ 811</x:v>
      </x:c>
      <x:c r="D39" s="8" t="n">
        <x:v>10500</x:v>
      </x:c>
      <x:c r="E39" s="2" t="str">
        <x:v>Клиент 12</x:v>
      </x:c>
      <x:c r="F39" s="2" t="str">
        <x:v>Соцсети</x:v>
      </x:c>
    </x:row>
    <x:row r="40" ht="26" customHeight="1">
      <x:c r="A40" s="2" t="str">
        <x:v>B039</x:v>
      </x:c>
      <x:c r="B40" s="7" t="d">
        <x:v>2026-08-13T00:00:00.000Z</x:v>
      </x:c>
      <x:c r="C40" s="2" t="str">
        <x:v>Возврат клиенту по заказу 800</x:v>
      </x:c>
      <x:c r="D40" s="8" t="n">
        <x:v>-2000</x:v>
      </x:c>
      <x:c r="E40" s="2" t="str">
        <x:v>Клиент 01</x:v>
      </x:c>
      <x:c r="F40" s="2" t="str">
        <x:v>Сайт</x:v>
      </x:c>
    </x:row>
    <x:row r="41" ht="26" customHeight="1">
      <x:c r="A41" s="2" t="str">
        <x:v>B040</x:v>
      </x:c>
      <x:c r="B41" s="7" t="d">
        <x:v>2026-08-14T00:00:00.000Z</x:v>
      </x:c>
      <x:c r="C41" s="2" t="str">
        <x:v>Возврат клиенту по заказу 801</x:v>
      </x:c>
      <x:c r="D41" s="8" t="n">
        <x:v>-2400</x:v>
      </x:c>
      <x:c r="E41" s="2" t="str">
        <x:v>Клиент 02</x:v>
      </x:c>
      <x:c r="F41" s="2" t="str">
        <x:v>Сайт</x:v>
      </x:c>
    </x:row>
    <x:row r="42" ht="26" customHeight="1">
      <x:c r="A42" s="2" t="str">
        <x:v>B041</x:v>
      </x:c>
      <x:c r="B42" s="7" t="d">
        <x:v>2026-08-15T00:00:00.000Z</x:v>
      </x:c>
      <x:c r="C42" s="2" t="str">
        <x:v>Оплата подрядчику за подготовку материалов 1</x:v>
      </x:c>
      <x:c r="D42" s="8" t="n">
        <x:v>-2350</x:v>
      </x:c>
      <x:c r="E42" s="2" t="str">
        <x:v>Подрядчик 1</x:v>
      </x:c>
      <x:c r="F42" s="2" t="str">
        <x:v>Банк</x:v>
      </x:c>
    </x:row>
    <x:row r="43" ht="26" customHeight="1">
      <x:c r="A43" s="2" t="str">
        <x:v>B042</x:v>
      </x:c>
      <x:c r="B43" s="7" t="d">
        <x:v>2026-08-16T00:00:00.000Z</x:v>
      </x:c>
      <x:c r="C43" s="2" t="str">
        <x:v>Оплата подрядчику за подготовку материалов 2</x:v>
      </x:c>
      <x:c r="D43" s="8" t="n">
        <x:v>-2700</x:v>
      </x:c>
      <x:c r="E43" s="2" t="str">
        <x:v>Подрядчик 2</x:v>
      </x:c>
      <x:c r="F43" s="2" t="str">
        <x:v>Банк</x:v>
      </x:c>
    </x:row>
    <x:row r="44" ht="26" customHeight="1">
      <x:c r="A44" s="2" t="str">
        <x:v>B043</x:v>
      </x:c>
      <x:c r="B44" s="7" t="d">
        <x:v>2026-08-17T00:00:00.000Z</x:v>
      </x:c>
      <x:c r="C44" s="2" t="str">
        <x:v>Оплата подрядчику за подготовку материалов 3</x:v>
      </x:c>
      <x:c r="D44" s="8" t="n">
        <x:v>-3050</x:v>
      </x:c>
      <x:c r="E44" s="2" t="str">
        <x:v>Подрядчик 3</x:v>
      </x:c>
      <x:c r="F44" s="2" t="str">
        <x:v>Банк</x:v>
      </x:c>
    </x:row>
    <x:row r="45" ht="26" customHeight="1">
      <x:c r="A45" s="2" t="str">
        <x:v>B044</x:v>
      </x:c>
      <x:c r="B45" s="7" t="d">
        <x:v>2026-08-18T00:00:00.000Z</x:v>
      </x:c>
      <x:c r="C45" s="2" t="str">
        <x:v>Оплата подрядчику за подготовку материалов 4</x:v>
      </x:c>
      <x:c r="D45" s="8" t="n">
        <x:v>-3400</x:v>
      </x:c>
      <x:c r="E45" s="2" t="str">
        <x:v>Подрядчик 4</x:v>
      </x:c>
      <x:c r="F45" s="2" t="str">
        <x:v>Банк</x:v>
      </x:c>
    </x:row>
    <x:row r="46" ht="26" customHeight="1">
      <x:c r="A46" s="2" t="str">
        <x:v>B045</x:v>
      </x:c>
      <x:c r="B46" s="7" t="d">
        <x:v>2026-08-19T00:00:00.000Z</x:v>
      </x:c>
      <x:c r="C46" s="2" t="str">
        <x:v>Рекламная кампания 1</x:v>
      </x:c>
      <x:c r="D46" s="8" t="n">
        <x:v>-4000</x:v>
      </x:c>
      <x:c r="E46" s="2" t="str">
        <x:v>Рекламная площадка</x:v>
      </x:c>
      <x:c r="F46" s="2" t="str">
        <x:v>Банк</x:v>
      </x:c>
    </x:row>
    <x:row r="47" ht="26" customHeight="1">
      <x:c r="A47" s="2" t="str">
        <x:v>B046</x:v>
      </x:c>
      <x:c r="B47" s="7" t="d">
        <x:v>2026-08-20T00:00:00.000Z</x:v>
      </x:c>
      <x:c r="C47" s="2" t="str">
        <x:v>Рекламная кампания 2</x:v>
      </x:c>
      <x:c r="D47" s="8" t="n">
        <x:v>-4250</x:v>
      </x:c>
      <x:c r="E47" s="2" t="str">
        <x:v>Рекламная площадка</x:v>
      </x:c>
      <x:c r="F47" s="2" t="str">
        <x:v>Банк</x:v>
      </x:c>
    </x:row>
    <x:row r="48" ht="26" customHeight="1">
      <x:c r="A48" s="2" t="str">
        <x:v>B047</x:v>
      </x:c>
      <x:c r="B48" s="7" t="d">
        <x:v>2026-08-21T00:00:00.000Z</x:v>
      </x:c>
      <x:c r="C48" s="2" t="str">
        <x:v>Рекламная кампания 3</x:v>
      </x:c>
      <x:c r="D48" s="8" t="n">
        <x:v>-4500</x:v>
      </x:c>
      <x:c r="E48" s="2" t="str">
        <x:v>Рекламная площадка</x:v>
      </x:c>
      <x:c r="F48" s="2" t="str">
        <x:v>Банк</x:v>
      </x:c>
    </x:row>
    <x:row r="49" ht="26" customHeight="1">
      <x:c r="A49" s="2" t="str">
        <x:v>B048</x:v>
      </x:c>
      <x:c r="B49" s="7" t="d">
        <x:v>2026-08-22T00:00:00.000Z</x:v>
      </x:c>
      <x:c r="C49" s="2" t="str">
        <x:v>Подписка на рабочий сервис 1</x:v>
      </x:c>
      <x:c r="D49" s="8" t="n">
        <x:v>-900</x:v>
      </x:c>
      <x:c r="E49" s="2" t="str">
        <x:v>Рабочий сервис</x:v>
      </x:c>
      <x:c r="F49" s="2" t="str">
        <x:v>Карта</x:v>
      </x:c>
    </x:row>
    <x:row r="50" ht="26" customHeight="1">
      <x:c r="A50" s="2" t="str">
        <x:v>B049</x:v>
      </x:c>
      <x:c r="B50" s="7" t="d">
        <x:v>2026-08-23T00:00:00.000Z</x:v>
      </x:c>
      <x:c r="C50" s="2" t="str">
        <x:v>Подписка на рабочий сервис 2</x:v>
      </x:c>
      <x:c r="D50" s="8" t="n">
        <x:v>-1300</x:v>
      </x:c>
      <x:c r="E50" s="2" t="str">
        <x:v>Рабочий сервис</x:v>
      </x:c>
      <x:c r="F50" s="2" t="str">
        <x:v>Карта</x:v>
      </x:c>
    </x:row>
    <x:row r="51" ht="26" customHeight="1">
      <x:c r="A51" s="2" t="str">
        <x:v>B050</x:v>
      </x:c>
      <x:c r="B51" s="7" t="d">
        <x:v>2026-08-24T00:00:00.000Z</x:v>
      </x:c>
      <x:c r="C51" s="2" t="str">
        <x:v>Перевод на свой личный счёт</x:v>
      </x:c>
      <x:c r="D51" s="8" t="n">
        <x:v>-12000</x:v>
      </x:c>
      <x:c r="E51" s="2" t="str">
        <x:v>Собственный счёт</x:v>
      </x:c>
      <x:c r="F51" s="2" t="str">
        <x:v>Банк</x:v>
      </x:c>
    </x:row>
    <x:row r="52" ht="26" customHeight="1">
      <x:c r="A52" s="2" t="str">
        <x:v>B051</x:v>
      </x:c>
      <x:c r="B52" s="7" t="d">
        <x:v>2026-08-25T00:00:00.000Z</x:v>
      </x:c>
      <x:c r="C52" s="2" t="str">
        <x:v>Пополнение от владельца</x:v>
      </x:c>
      <x:c r="D52" s="8" t="n">
        <x:v>20000</x:v>
      </x:c>
      <x:c r="E52" s="2" t="str">
        <x:v>Владелец</x:v>
      </x:c>
      <x:c r="F52" s="2" t="str">
        <x:v>Банк</x:v>
      </x:c>
    </x:row>
    <x:row r="53" ht="26" customHeight="1">
      <x:c r="A53" s="2" t="str">
        <x:v>B052</x:v>
      </x:c>
      <x:c r="B53" s="7" t="d">
        <x:v>2026-08-26T00:00:00.000Z</x:v>
      </x:c>
      <x:c r="C53" s="2" t="str">
        <x:v>Оплата по реквизитам без назначения</x:v>
      </x:c>
      <x:c r="D53" s="8" t="n">
        <x:v>-1700</x:v>
      </x:c>
      <x:c r="E53" s="2" t="str">
        <x:v>Контрагент не указан</x:v>
      </x:c>
      <x:c r="F53" s="2" t="str">
        <x:v>Банк</x:v>
      </x:c>
    </x:row>
    <x:row r="54" ht="26" customHeight="1">
      <x:c r="A54" s="2" t="str">
        <x:v>B053</x:v>
      </x:c>
      <x:c r="B54" s="7" t="d">
        <x:v>2026-09-01T00:00:00.000Z</x:v>
      </x:c>
      <x:c r="C54" s="2" t="str">
        <x:v>Оплата консультации, заказ 900</x:v>
      </x:c>
      <x:c r="D54" s="8" t="n">
        <x:v>7000</x:v>
      </x:c>
      <x:c r="E54" s="2" t="str">
        <x:v>Клиент 01</x:v>
      </x:c>
      <x:c r="F54" s="2" t="str">
        <x:v>Сайт</x:v>
      </x:c>
    </x:row>
    <x:row r="55" ht="26" customHeight="1">
      <x:c r="A55" s="2" t="str">
        <x:v>B054</x:v>
      </x:c>
      <x:c r="B55" s="7" t="d">
        <x:v>2026-09-02T00:00:00.000Z</x:v>
      </x:c>
      <x:c r="C55" s="2" t="str">
        <x:v>Оплата консультации, заказ 901</x:v>
      </x:c>
      <x:c r="D55" s="8" t="n">
        <x:v>8500</x:v>
      </x:c>
      <x:c r="E55" s="2" t="str">
        <x:v>Клиент 02</x:v>
      </x:c>
      <x:c r="F55" s="2" t="str">
        <x:v>Рекомендации</x:v>
      </x:c>
    </x:row>
    <x:row r="56" ht="26" customHeight="1">
      <x:c r="A56" s="2" t="str">
        <x:v>B055</x:v>
      </x:c>
      <x:c r="B56" s="7" t="d">
        <x:v>2026-09-03T00:00:00.000Z</x:v>
      </x:c>
      <x:c r="C56" s="2" t="str">
        <x:v>Оплата консультации, заказ 902</x:v>
      </x:c>
      <x:c r="D56" s="8" t="n">
        <x:v>10000</x:v>
      </x:c>
      <x:c r="E56" s="2" t="str">
        <x:v>Клиент 03</x:v>
      </x:c>
      <x:c r="F56" s="2" t="str">
        <x:v>Соцсети</x:v>
      </x:c>
    </x:row>
    <x:row r="57" ht="26" customHeight="1">
      <x:c r="A57" s="2" t="str">
        <x:v>B056</x:v>
      </x:c>
      <x:c r="B57" s="7" t="d">
        <x:v>2026-09-04T00:00:00.000Z</x:v>
      </x:c>
      <x:c r="C57" s="2" t="str">
        <x:v>Оплата консультации, заказ 903</x:v>
      </x:c>
      <x:c r="D57" s="8" t="n">
        <x:v>11500</x:v>
      </x:c>
      <x:c r="E57" s="2" t="str">
        <x:v>Клиент 04</x:v>
      </x:c>
      <x:c r="F57" s="2" t="str">
        <x:v>Сайт</x:v>
      </x:c>
    </x:row>
    <x:row r="58" ht="26" customHeight="1">
      <x:c r="A58" s="2" t="str">
        <x:v>B057</x:v>
      </x:c>
      <x:c r="B58" s="7" t="d">
        <x:v>2026-09-05T00:00:00.000Z</x:v>
      </x:c>
      <x:c r="C58" s="2" t="str">
        <x:v>Оплата консультации, заказ 904</x:v>
      </x:c>
      <x:c r="D58" s="8" t="n">
        <x:v>7000</x:v>
      </x:c>
      <x:c r="E58" s="2" t="str">
        <x:v>Клиент 05</x:v>
      </x:c>
      <x:c r="F58" s="2" t="str">
        <x:v>Рекомендации</x:v>
      </x:c>
    </x:row>
    <x:row r="59" ht="26" customHeight="1">
      <x:c r="A59" s="2" t="str">
        <x:v>B058</x:v>
      </x:c>
      <x:c r="B59" s="7" t="d">
        <x:v>2026-09-06T00:00:00.000Z</x:v>
      </x:c>
      <x:c r="C59" s="2" t="str">
        <x:v>Оплата консультации, заказ 905</x:v>
      </x:c>
      <x:c r="D59" s="8" t="n">
        <x:v>8500</x:v>
      </x:c>
      <x:c r="E59" s="2" t="str">
        <x:v>Клиент 06</x:v>
      </x:c>
      <x:c r="F59" s="2" t="str">
        <x:v>Соцсети</x:v>
      </x:c>
    </x:row>
    <x:row r="60" ht="26" customHeight="1">
      <x:c r="A60" s="2" t="str">
        <x:v>B059</x:v>
      </x:c>
      <x:c r="B60" s="7" t="d">
        <x:v>2026-09-07T00:00:00.000Z</x:v>
      </x:c>
      <x:c r="C60" s="2" t="str">
        <x:v>Оплата консультации, заказ 906</x:v>
      </x:c>
      <x:c r="D60" s="8" t="n">
        <x:v>10000</x:v>
      </x:c>
      <x:c r="E60" s="2" t="str">
        <x:v>Клиент 07</x:v>
      </x:c>
      <x:c r="F60" s="2" t="str">
        <x:v>Сайт</x:v>
      </x:c>
    </x:row>
    <x:row r="61" ht="26" customHeight="1">
      <x:c r="A61" s="2" t="str">
        <x:v>B060</x:v>
      </x:c>
      <x:c r="B61" s="7" t="d">
        <x:v>2026-09-08T00:00:00.000Z</x:v>
      </x:c>
      <x:c r="C61" s="2" t="str">
        <x:v>Оплата консультации, заказ 907</x:v>
      </x:c>
      <x:c r="D61" s="8" t="n">
        <x:v>11500</x:v>
      </x:c>
      <x:c r="E61" s="2" t="str">
        <x:v>Клиент 08</x:v>
      </x:c>
      <x:c r="F61" s="2" t="str">
        <x:v>Рекомендации</x:v>
      </x:c>
    </x:row>
    <x:row r="62" ht="26" customHeight="1">
      <x:c r="A62" s="2" t="str">
        <x:v>B061</x:v>
      </x:c>
      <x:c r="B62" s="7" t="d">
        <x:v>2026-09-09T00:00:00.000Z</x:v>
      </x:c>
      <x:c r="C62" s="2" t="str">
        <x:v>Оплата консультации, заказ 908</x:v>
      </x:c>
      <x:c r="D62" s="8" t="n">
        <x:v>7000</x:v>
      </x:c>
      <x:c r="E62" s="2" t="str">
        <x:v>Клиент 09</x:v>
      </x:c>
      <x:c r="F62" s="2" t="str">
        <x:v>Соцсети</x:v>
      </x:c>
    </x:row>
    <x:row r="63" ht="26" customHeight="1">
      <x:c r="A63" s="2" t="str">
        <x:v>B062</x:v>
      </x:c>
      <x:c r="B63" s="7" t="d">
        <x:v>2026-09-10T00:00:00.000Z</x:v>
      </x:c>
      <x:c r="C63" s="2" t="str">
        <x:v>Оплата консультации, заказ 909</x:v>
      </x:c>
      <x:c r="D63" s="8" t="n">
        <x:v>8500</x:v>
      </x:c>
      <x:c r="E63" s="2" t="str">
        <x:v>Клиент 10</x:v>
      </x:c>
      <x:c r="F63" s="2" t="str">
        <x:v>Сайт</x:v>
      </x:c>
    </x:row>
    <x:row r="64" ht="26" customHeight="1">
      <x:c r="A64" s="2" t="str">
        <x:v>B063</x:v>
      </x:c>
      <x:c r="B64" s="7" t="d">
        <x:v>2026-09-11T00:00:00.000Z</x:v>
      </x:c>
      <x:c r="C64" s="2" t="str">
        <x:v>Оплата консультации, заказ 910</x:v>
      </x:c>
      <x:c r="D64" s="8" t="n">
        <x:v>10000</x:v>
      </x:c>
      <x:c r="E64" s="2" t="str">
        <x:v>Клиент 11</x:v>
      </x:c>
      <x:c r="F64" s="2" t="str">
        <x:v>Рекомендации</x:v>
      </x:c>
    </x:row>
    <x:row r="65" ht="26" customHeight="1">
      <x:c r="A65" s="2" t="str">
        <x:v>B064</x:v>
      </x:c>
      <x:c r="B65" s="7" t="d">
        <x:v>2026-09-12T00:00:00.000Z</x:v>
      </x:c>
      <x:c r="C65" s="2" t="str">
        <x:v>Оплата консультации, заказ 911</x:v>
      </x:c>
      <x:c r="D65" s="8" t="n">
        <x:v>11500</x:v>
      </x:c>
      <x:c r="E65" s="2" t="str">
        <x:v>Клиент 12</x:v>
      </x:c>
      <x:c r="F65" s="2" t="str">
        <x:v>Соцсети</x:v>
      </x:c>
    </x:row>
    <x:row r="66" ht="26" customHeight="1">
      <x:c r="A66" s="2" t="str">
        <x:v>B065</x:v>
      </x:c>
      <x:c r="B66" s="7" t="d">
        <x:v>2026-09-13T00:00:00.000Z</x:v>
      </x:c>
      <x:c r="C66" s="2" t="str">
        <x:v>Возврат клиенту по заказу 900</x:v>
      </x:c>
      <x:c r="D66" s="8" t="n">
        <x:v>-2200</x:v>
      </x:c>
      <x:c r="E66" s="2" t="str">
        <x:v>Клиент 01</x:v>
      </x:c>
      <x:c r="F66" s="2" t="str">
        <x:v>Сайт</x:v>
      </x:c>
    </x:row>
    <x:row r="67" ht="26" customHeight="1">
      <x:c r="A67" s="2" t="str">
        <x:v>B066</x:v>
      </x:c>
      <x:c r="B67" s="7" t="d">
        <x:v>2026-09-14T00:00:00.000Z</x:v>
      </x:c>
      <x:c r="C67" s="2" t="str">
        <x:v>Возврат клиенту по заказу 901</x:v>
      </x:c>
      <x:c r="D67" s="8" t="n">
        <x:v>-2600</x:v>
      </x:c>
      <x:c r="E67" s="2" t="str">
        <x:v>Клиент 02</x:v>
      </x:c>
      <x:c r="F67" s="2" t="str">
        <x:v>Сайт</x:v>
      </x:c>
    </x:row>
    <x:row r="68" ht="26" customHeight="1">
      <x:c r="A68" s="2" t="str">
        <x:v>B067</x:v>
      </x:c>
      <x:c r="B68" s="7" t="d">
        <x:v>2026-09-15T00:00:00.000Z</x:v>
      </x:c>
      <x:c r="C68" s="2" t="str">
        <x:v>Оплата подрядчику за подготовку материалов 1</x:v>
      </x:c>
      <x:c r="D68" s="8" t="n">
        <x:v>-2500</x:v>
      </x:c>
      <x:c r="E68" s="2" t="str">
        <x:v>Подрядчик 1</x:v>
      </x:c>
      <x:c r="F68" s="2" t="str">
        <x:v>Банк</x:v>
      </x:c>
    </x:row>
    <x:row r="69" ht="26" customHeight="1">
      <x:c r="A69" s="2" t="str">
        <x:v>B068</x:v>
      </x:c>
      <x:c r="B69" s="7" t="d">
        <x:v>2026-09-16T00:00:00.000Z</x:v>
      </x:c>
      <x:c r="C69" s="2" t="str">
        <x:v>Оплата подрядчику за подготовку материалов 2</x:v>
      </x:c>
      <x:c r="D69" s="8" t="n">
        <x:v>-2850</x:v>
      </x:c>
      <x:c r="E69" s="2" t="str">
        <x:v>Подрядчик 2</x:v>
      </x:c>
      <x:c r="F69" s="2" t="str">
        <x:v>Банк</x:v>
      </x:c>
    </x:row>
    <x:row r="70" ht="26" customHeight="1">
      <x:c r="A70" s="2" t="str">
        <x:v>B069</x:v>
      </x:c>
      <x:c r="B70" s="7" t="d">
        <x:v>2026-09-17T00:00:00.000Z</x:v>
      </x:c>
      <x:c r="C70" s="2" t="str">
        <x:v>Оплата подрядчику за подготовку материалов 3</x:v>
      </x:c>
      <x:c r="D70" s="8" t="n">
        <x:v>-3200</x:v>
      </x:c>
      <x:c r="E70" s="2" t="str">
        <x:v>Подрядчик 3</x:v>
      </x:c>
      <x:c r="F70" s="2" t="str">
        <x:v>Банк</x:v>
      </x:c>
    </x:row>
    <x:row r="71" ht="26" customHeight="1">
      <x:c r="A71" s="2" t="str">
        <x:v>B070</x:v>
      </x:c>
      <x:c r="B71" s="7" t="d">
        <x:v>2026-09-18T00:00:00.000Z</x:v>
      </x:c>
      <x:c r="C71" s="2" t="str">
        <x:v>Оплата подрядчику за подготовку материалов 4</x:v>
      </x:c>
      <x:c r="D71" s="8" t="n">
        <x:v>-3550</x:v>
      </x:c>
      <x:c r="E71" s="2" t="str">
        <x:v>Подрядчик 4</x:v>
      </x:c>
      <x:c r="F71" s="2" t="str">
        <x:v>Банк</x:v>
      </x:c>
    </x:row>
    <x:row r="72" ht="26" customHeight="1">
      <x:c r="A72" s="2" t="str">
        <x:v>B071</x:v>
      </x:c>
      <x:c r="B72" s="7" t="d">
        <x:v>2026-09-19T00:00:00.000Z</x:v>
      </x:c>
      <x:c r="C72" s="2" t="str">
        <x:v>Рекламная кампания 1</x:v>
      </x:c>
      <x:c r="D72" s="8" t="n">
        <x:v>-4500</x:v>
      </x:c>
      <x:c r="E72" s="2" t="str">
        <x:v>Рекламная площадка</x:v>
      </x:c>
      <x:c r="F72" s="2" t="str">
        <x:v>Банк</x:v>
      </x:c>
    </x:row>
    <x:row r="73" ht="26" customHeight="1">
      <x:c r="A73" s="2" t="str">
        <x:v>B072</x:v>
      </x:c>
      <x:c r="B73" s="7" t="d">
        <x:v>2026-09-20T00:00:00.000Z</x:v>
      </x:c>
      <x:c r="C73" s="2" t="str">
        <x:v>Рекламная кампания 2</x:v>
      </x:c>
      <x:c r="D73" s="8" t="n">
        <x:v>-4750</x:v>
      </x:c>
      <x:c r="E73" s="2" t="str">
        <x:v>Рекламная площадка</x:v>
      </x:c>
      <x:c r="F73" s="2" t="str">
        <x:v>Банк</x:v>
      </x:c>
    </x:row>
    <x:row r="74" ht="26" customHeight="1">
      <x:c r="A74" s="2" t="str">
        <x:v>B073</x:v>
      </x:c>
      <x:c r="B74" s="7" t="d">
        <x:v>2026-09-21T00:00:00.000Z</x:v>
      </x:c>
      <x:c r="C74" s="2" t="str">
        <x:v>Рекламная кампания 3</x:v>
      </x:c>
      <x:c r="D74" s="8" t="n">
        <x:v>-5000</x:v>
      </x:c>
      <x:c r="E74" s="2" t="str">
        <x:v>Рекламная площадка</x:v>
      </x:c>
      <x:c r="F74" s="2" t="str">
        <x:v>Банк</x:v>
      </x:c>
    </x:row>
    <x:row r="75" ht="26" customHeight="1">
      <x:c r="A75" s="2" t="str">
        <x:v>B074</x:v>
      </x:c>
      <x:c r="B75" s="7" t="d">
        <x:v>2026-09-22T00:00:00.000Z</x:v>
      </x:c>
      <x:c r="C75" s="2" t="str">
        <x:v>Подписка на рабочий сервис 1</x:v>
      </x:c>
      <x:c r="D75" s="8" t="n">
        <x:v>-900</x:v>
      </x:c>
      <x:c r="E75" s="2" t="str">
        <x:v>Рабочий сервис</x:v>
      </x:c>
      <x:c r="F75" s="2" t="str">
        <x:v>Карта</x:v>
      </x:c>
    </x:row>
    <x:row r="76" ht="26" customHeight="1">
      <x:c r="A76" s="2" t="str">
        <x:v>B075</x:v>
      </x:c>
      <x:c r="B76" s="7" t="d">
        <x:v>2026-09-23T00:00:00.000Z</x:v>
      </x:c>
      <x:c r="C76" s="2" t="str">
        <x:v>Подписка на рабочий сервис 2</x:v>
      </x:c>
      <x:c r="D76" s="8" t="n">
        <x:v>-1300</x:v>
      </x:c>
      <x:c r="E76" s="2" t="str">
        <x:v>Рабочий сервис</x:v>
      </x:c>
      <x:c r="F76" s="2" t="str">
        <x:v>Карта</x:v>
      </x:c>
    </x:row>
    <x:row r="77" ht="26" customHeight="1">
      <x:c r="A77" s="2" t="str">
        <x:v>B076</x:v>
      </x:c>
      <x:c r="B77" s="7" t="d">
        <x:v>2026-09-24T00:00:00.000Z</x:v>
      </x:c>
      <x:c r="C77" s="2" t="str">
        <x:v>Перевод на свой личный счёт</x:v>
      </x:c>
      <x:c r="D77" s="8" t="n">
        <x:v>-12000</x:v>
      </x:c>
      <x:c r="E77" s="2" t="str">
        <x:v>Собственный счёт</x:v>
      </x:c>
      <x:c r="F77" s="2" t="str">
        <x:v>Банк</x:v>
      </x:c>
    </x:row>
    <x:row r="78" ht="26" customHeight="1">
      <x:c r="A78" s="2" t="str">
        <x:v>B077</x:v>
      </x:c>
      <x:c r="B78" s="7" t="d">
        <x:v>2026-09-25T00:00:00.000Z</x:v>
      </x:c>
      <x:c r="C78" s="2" t="str">
        <x:v>Пополнение от владельца</x:v>
      </x:c>
      <x:c r="D78" s="8" t="n">
        <x:v>20000</x:v>
      </x:c>
      <x:c r="E78" s="2" t="str">
        <x:v>Владелец</x:v>
      </x:c>
      <x:c r="F78" s="2" t="str">
        <x:v>Банк</x:v>
      </x:c>
    </x:row>
    <x:row r="79" ht="26" customHeight="1">
      <x:c r="A79" s="2" t="str">
        <x:v>B078</x:v>
      </x:c>
      <x:c r="B79" s="7" t="d">
        <x:v>2026-09-26T00:00:00.000Z</x:v>
      </x:c>
      <x:c r="C79" s="2" t="str">
        <x:v>Оплата по реквизитам без назначения</x:v>
      </x:c>
      <x:c r="D79" s="8" t="n">
        <x:v>-1700</x:v>
      </x:c>
      <x:c r="E79" s="2" t="str">
        <x:v>Контрагент не указан</x:v>
      </x:c>
      <x:c r="F79" s="2" t="str">
        <x:v>Банк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19212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7" hidden="0" customWidth="1"/>
    <x:col min="3" max="3" width="38" hidden="0" customWidth="1"/>
    <x:col min="4" max="4" width="19" hidden="0" customWidth="1"/>
    <x:col min="5" max="5" width="22" hidden="0" customWidth="1"/>
    <x:col min="6" max="6" width="20" hidden="0" customWidth="1"/>
    <x:col min="7" max="7" width="24" hidden="0" customWidth="1"/>
    <x:col min="8" max="8" width="15" hidden="0" customWidth="1"/>
  </x:cols>
  <x:sheetData>
    <x:row r="1" ht="34" customHeight="1">
      <x:c r="A1" s="13" t="str">
        <x:v>Денежная модель малого бизнеса</x:v>
      </x:c>
      <x:c r="B1" s="11"/>
      <x:c r="C1" s="11"/>
      <x:c r="D1" s="11"/>
      <x:c r="E1" s="11"/>
      <x:c r="F1" s="11"/>
      <x:c r="G1" s="11"/>
      <x:c r="H1" s="11"/>
    </x:row>
    <x:row r="2" ht="26" customHeight="1">
      <x:c r="A2" s="15" t="str">
        <x:v>Поступления и выплаты по операциям; без налогов и начального остатка</x:v>
      </x:c>
      <x:c r="B2" s="12"/>
      <x:c r="C2" s="12"/>
      <x:c r="D2" s="12"/>
      <x:c r="E2" s="12"/>
      <x:c r="F2" s="12"/>
      <x:c r="G2" s="12"/>
      <x:c r="H2" s="12"/>
    </x:row>
    <x:row r="3" ht="26" customHeight="1">
      <x:c r="A3" s="5" t="str">
        <x:v>Показатель</x:v>
      </x:c>
      <x:c r="B3" s="5" t="str">
        <x:v>2026-07</x:v>
      </x:c>
      <x:c r="C3" s="5" t="str">
        <x:v>2026-08</x:v>
      </x:c>
      <x:c r="D3" s="5" t="str">
        <x:v>2026-09</x:v>
      </x:c>
      <x:c r="E3" s="5" t="str">
        <x:v>Итого</x:v>
      </x:c>
      <x:c r="F3" s="12"/>
      <x:c r="G3" s="12"/>
      <x:c r="H3" s="12"/>
    </x:row>
    <x:row r="4" ht="26" customHeight="1">
      <x:c r="A4" s="12" t="str">
        <x:v>Оплаты клиентов</x:v>
      </x:c>
      <x:c r="B4" s="19" t="n">
        <x:f>SUMIFS($D$22:$D$99,$G$22:$G$99,"Оплата клиента",$H$22:$H$99,B$3)</x:f>
        <x:v>87000</x:v>
      </x:c>
      <x:c r="C4" s="19" t="n">
        <x:f>SUMIFS($D$22:$D$99,$G$22:$G$99,"Оплата клиента",$H$22:$H$99,C$3)</x:f>
        <x:v>99000</x:v>
      </x:c>
      <x:c r="D4" s="19" t="n">
        <x:f>SUMIFS($D$22:$D$99,$G$22:$G$99,"Оплата клиента",$H$22:$H$99,D$3)</x:f>
        <x:v>111000</x:v>
      </x:c>
      <x:c r="E4" s="19" t="n">
        <x:f>SUM(B4:D4)</x:f>
        <x:v>297000</x:v>
      </x:c>
      <x:c r="F4" s="12"/>
      <x:c r="G4" s="12"/>
      <x:c r="H4" s="12"/>
    </x:row>
    <x:row r="5" ht="26" customHeight="1">
      <x:c r="A5" s="12" t="str">
        <x:v>Возвраты клиентам</x:v>
      </x:c>
      <x:c r="B5" s="19" t="n">
        <x:f>-SUMIFS($D$22:$D$99,$G$22:$G$99,"Возврат клиенту",$H$22:$H$99,B$3)</x:f>
        <x:v>4000</x:v>
      </x:c>
      <x:c r="C5" s="19" t="n">
        <x:f>-SUMIFS($D$22:$D$99,$G$22:$G$99,"Возврат клиенту",$H$22:$H$99,C$3)</x:f>
        <x:v>4400</x:v>
      </x:c>
      <x:c r="D5" s="19" t="n">
        <x:f>-SUMIFS($D$22:$D$99,$G$22:$G$99,"Возврат клиенту",$H$22:$H$99,D$3)</x:f>
        <x:v>4800</x:v>
      </x:c>
      <x:c r="E5" s="19" t="n">
        <x:f>SUM(B5:D5)</x:f>
        <x:v>13200</x:v>
      </x:c>
      <x:c r="F5" s="12"/>
      <x:c r="G5" s="12"/>
      <x:c r="H5" s="12"/>
    </x:row>
    <x:row r="6" ht="26" customHeight="1">
      <x:c r="A6" s="18" t="str">
        <x:v>Чистые поступления</x:v>
      </x:c>
      <x:c r="B6" s="20" t="n">
        <x:f>B4-B5</x:f>
        <x:v>83000</x:v>
      </x:c>
      <x:c r="C6" s="20" t="n">
        <x:f>C4-C5</x:f>
        <x:v>94600</x:v>
      </x:c>
      <x:c r="D6" s="20" t="n">
        <x:f>D4-D5</x:f>
        <x:v>106200</x:v>
      </x:c>
      <x:c r="E6" s="20" t="n">
        <x:f>SUM(B6:D6)</x:f>
        <x:v>283800</x:v>
      </x:c>
      <x:c r="F6" s="12"/>
      <x:c r="G6" s="12"/>
      <x:c r="H6" s="12"/>
    </x:row>
    <x:row r="7" ht="26" customHeight="1">
      <x:c r="A7" s="12" t="str">
        <x:v>Подрядчики</x:v>
      </x:c>
      <x:c r="B7" s="19" t="n">
        <x:f>-SUMIFS($D$22:$D$99,$G$22:$G$99,"Подрядчики",$H$22:$H$99,B$3)</x:f>
        <x:v>10900</x:v>
      </x:c>
      <x:c r="C7" s="19" t="n">
        <x:f>-SUMIFS($D$22:$D$99,$G$22:$G$99,"Подрядчики",$H$22:$H$99,C$3)</x:f>
        <x:v>11500</x:v>
      </x:c>
      <x:c r="D7" s="19" t="n">
        <x:f>-SUMIFS($D$22:$D$99,$G$22:$G$99,"Подрядчики",$H$22:$H$99,D$3)</x:f>
        <x:v>12100</x:v>
      </x:c>
      <x:c r="E7" s="19" t="n">
        <x:f>SUM(B7:D7)</x:f>
        <x:v>34500</x:v>
      </x:c>
      <x:c r="F7" s="12"/>
      <x:c r="G7" s="12"/>
      <x:c r="H7" s="12"/>
    </x:row>
    <x:row r="8" ht="26" customHeight="1">
      <x:c r="A8" s="12" t="str">
        <x:v>Реклама</x:v>
      </x:c>
      <x:c r="B8" s="19" t="n">
        <x:f>-SUMIFS($D$22:$D$99,$G$22:$G$99,"Реклама",$H$22:$H$99,B$3)</x:f>
        <x:v>11250</x:v>
      </x:c>
      <x:c r="C8" s="19" t="n">
        <x:f>-SUMIFS($D$22:$D$99,$G$22:$G$99,"Реклама",$H$22:$H$99,C$3)</x:f>
        <x:v>12750</x:v>
      </x:c>
      <x:c r="D8" s="19" t="n">
        <x:f>-SUMIFS($D$22:$D$99,$G$22:$G$99,"Реклама",$H$22:$H$99,D$3)</x:f>
        <x:v>14250</x:v>
      </x:c>
      <x:c r="E8" s="19" t="n">
        <x:f>SUM(B8:D8)</x:f>
        <x:v>38250</x:v>
      </x:c>
      <x:c r="F8" s="12"/>
      <x:c r="G8" s="12"/>
      <x:c r="H8" s="12"/>
    </x:row>
    <x:row r="9" ht="26" customHeight="1">
      <x:c r="A9" s="12" t="str">
        <x:v>Сервисы</x:v>
      </x:c>
      <x:c r="B9" s="19" t="n">
        <x:f>-SUMIFS($D$22:$D$99,$G$22:$G$99,"Сервисы",$H$22:$H$99,B$3)</x:f>
        <x:v>2200</x:v>
      </x:c>
      <x:c r="C9" s="19" t="n">
        <x:f>-SUMIFS($D$22:$D$99,$G$22:$G$99,"Сервисы",$H$22:$H$99,C$3)</x:f>
        <x:v>2200</x:v>
      </x:c>
      <x:c r="D9" s="19" t="n">
        <x:f>-SUMIFS($D$22:$D$99,$G$22:$G$99,"Сервисы",$H$22:$H$99,D$3)</x:f>
        <x:v>2200</x:v>
      </x:c>
      <x:c r="E9" s="19" t="n">
        <x:f>SUM(B9:D9)</x:f>
        <x:v>6600</x:v>
      </x:c>
      <x:c r="F9" s="12"/>
      <x:c r="G9" s="12"/>
      <x:c r="H9" s="12"/>
    </x:row>
    <x:row r="10" ht="26" customHeight="1">
      <x:c r="A10" s="18" t="str">
        <x:v>Денежный результат</x:v>
      </x:c>
      <x:c r="B10" s="20" t="n">
        <x:f>B6-SUM(B7:B9)</x:f>
        <x:v>58650</x:v>
      </x:c>
      <x:c r="C10" s="20" t="n">
        <x:f>C6-SUM(C7:C9)</x:f>
        <x:v>68150</x:v>
      </x:c>
      <x:c r="D10" s="20" t="n">
        <x:f>D6-SUM(D7:D9)</x:f>
        <x:v>77650</x:v>
      </x:c>
      <x:c r="E10" s="20" t="n">
        <x:f>SUM(B10:D10)</x:f>
        <x:v>204450</x:v>
      </x:c>
      <x:c r="F10" s="12"/>
      <x:c r="G10" s="12"/>
      <x:c r="H10" s="12"/>
    </x:row>
    <x:row r="11" ht="26" customHeight="1">
      <x:c r="A11" s="12" t="str">
        <x:v>Доля результата</x:v>
      </x:c>
      <x:c r="B11" s="21" t="n">
        <x:f>IF(B6=0,"нет данных",B10/B6)</x:f>
        <x:v>0.7066265060240964</x:v>
      </x:c>
      <x:c r="C11" s="21" t="n">
        <x:f>IF(C6=0,"нет данных",C10/C6)</x:f>
        <x:v>0.7204016913319239</x:v>
      </x:c>
      <x:c r="D11" s="21" t="n">
        <x:f>IF(D6=0,"нет данных",D10/D6)</x:f>
        <x:v>0.7311676082862524</x:v>
      </x:c>
      <x:c r="E11" s="21" t="n">
        <x:f>IF(E6=0,"нет данных",E10/E6)</x:f>
        <x:v>0.7204016913319239</x:v>
      </x:c>
      <x:c r="F11" s="12"/>
      <x:c r="G11" s="12"/>
      <x:c r="H11" s="12"/>
    </x:row>
    <x:row r="12" ht="26" customHeight="1">
      <x:c r="A12" s="12" t="str">
        <x:v>Расходы на уточнении</x:v>
      </x:c>
      <x:c r="B12" s="19" t="n">
        <x:f>-SUMIFS($D$22:$D$99,$G$22:$G$99,"Нужно уточнить",$H$22:$H$99,B$3)</x:f>
        <x:v>1700</x:v>
      </x:c>
      <x:c r="C12" s="19" t="n">
        <x:f>-SUMIFS($D$22:$D$99,$G$22:$G$99,"Нужно уточнить",$H$22:$H$99,C$3)</x:f>
        <x:v>1700</x:v>
      </x:c>
      <x:c r="D12" s="19" t="n">
        <x:f>-SUMIFS($D$22:$D$99,$G$22:$G$99,"Нужно уточнить",$H$22:$H$99,D$3)</x:f>
        <x:v>1700</x:v>
      </x:c>
      <x:c r="E12" s="19" t="n">
        <x:f>SUM(B12:D12)</x:f>
        <x:v>5100</x:v>
      </x:c>
      <x:c r="F12" s="12"/>
      <x:c r="G12" s="12"/>
      <x:c r="H12" s="12"/>
    </x:row>
    <x:row r="13" ht="26" customHeight="1">
      <x:c r="A13" s="12" t="str">
        <x:v>Переводы себе</x:v>
      </x:c>
      <x:c r="B13" s="19" t="n">
        <x:f>-SUMIFS($D$22:$D$99,$G$22:$G$99,"Перевод себе",$H$22:$H$99,B$3)</x:f>
        <x:v>12000</x:v>
      </x:c>
      <x:c r="C13" s="19" t="n">
        <x:f>-SUMIFS($D$22:$D$99,$G$22:$G$99,"Перевод себе",$H$22:$H$99,C$3)</x:f>
        <x:v>12000</x:v>
      </x:c>
      <x:c r="D13" s="19" t="n">
        <x:f>-SUMIFS($D$22:$D$99,$G$22:$G$99,"Перевод себе",$H$22:$H$99,D$3)</x:f>
        <x:v>12000</x:v>
      </x:c>
      <x:c r="E13" s="19" t="n">
        <x:f>SUM(B13:D13)</x:f>
        <x:v>36000</x:v>
      </x:c>
      <x:c r="F13" s="12"/>
      <x:c r="G13" s="12"/>
      <x:c r="H13" s="12"/>
    </x:row>
    <x:row r="14" ht="26" customHeight="1">
      <x:c r="A14" s="12" t="str">
        <x:v>Взносы владельца</x:v>
      </x:c>
      <x:c r="B14" s="19" t="n">
        <x:f>SUMIFS($D$22:$D$99,$G$22:$G$99,"Взнос владельца",$H$22:$H$99,B$3)</x:f>
        <x:v>20000</x:v>
      </x:c>
      <x:c r="C14" s="19" t="n">
        <x:f>SUMIFS($D$22:$D$99,$G$22:$G$99,"Взнос владельца",$H$22:$H$99,C$3)</x:f>
        <x:v>20000</x:v>
      </x:c>
      <x:c r="D14" s="19" t="n">
        <x:f>SUMIFS($D$22:$D$99,$G$22:$G$99,"Взнос владельца",$H$22:$H$99,D$3)</x:f>
        <x:v>20000</x:v>
      </x:c>
      <x:c r="E14" s="19" t="n">
        <x:f>SUM(B14:D14)</x:f>
        <x:v>60000</x:v>
      </x:c>
      <x:c r="F14" s="12"/>
      <x:c r="G14" s="12"/>
      <x:c r="H14" s="12"/>
    </x:row>
    <x:row r="15" ht="26" customHeight="1">
      <x:c r="A15" s="12"/>
      <x:c r="B15" s="19"/>
      <x:c r="C15" s="19"/>
      <x:c r="D15" s="19"/>
      <x:c r="E15" s="19"/>
      <x:c r="F15" s="12"/>
      <x:c r="G15" s="12"/>
      <x:c r="H15" s="12"/>
    </x:row>
    <x:row r="16" ht="26" customHeight="1">
      <x:c r="A16" s="12" t="str">
        <x:v>Сокращение рекламы</x:v>
      </x:c>
      <x:c r="B16" s="24" t="n">
        <x:v>0.2</x:v>
      </x:c>
      <x:c r="C16" s="19"/>
      <x:c r="D16" s="19"/>
      <x:c r="E16" s="19"/>
      <x:c r="F16" s="12"/>
      <x:c r="G16" s="12"/>
      <x:c r="H16" s="12"/>
    </x:row>
    <x:row r="17" ht="26" customHeight="1">
      <x:c r="A17" s="12" t="str">
        <x:v>Экономия по условию</x:v>
      </x:c>
      <x:c r="B17" s="19" t="n">
        <x:f>B8*$B$16</x:f>
        <x:v>2250</x:v>
      </x:c>
      <x:c r="C17" s="19" t="n">
        <x:f>C8*$B$16</x:f>
        <x:v>2550</x:v>
      </x:c>
      <x:c r="D17" s="19" t="n">
        <x:f>D8*$B$16</x:f>
        <x:v>2850</x:v>
      </x:c>
      <x:c r="E17" s="19" t="n">
        <x:f>SUM(B17:D17)</x:f>
        <x:v>7650</x:v>
      </x:c>
      <x:c r="F17" s="12"/>
      <x:c r="G17" s="12"/>
      <x:c r="H17" s="12"/>
    </x:row>
    <x:row r="18" ht="26" customHeight="1">
      <x:c r="A18" s="18" t="str">
        <x:v>Результат по сценарию</x:v>
      </x:c>
      <x:c r="B18" s="20" t="n">
        <x:f>B10+B17</x:f>
        <x:v>60900</x:v>
      </x:c>
      <x:c r="C18" s="20" t="n">
        <x:f>C10+C17</x:f>
        <x:v>70700</x:v>
      </x:c>
      <x:c r="D18" s="20" t="n">
        <x:f>D10+D17</x:f>
        <x:v>80500</x:v>
      </x:c>
      <x:c r="E18" s="20" t="n">
        <x:f>SUM(B18:D18)</x:f>
        <x:v>212100</x:v>
      </x:c>
      <x:c r="F18" s="12"/>
      <x:c r="G18" s="12"/>
      <x:c r="H18" s="12"/>
    </x:row>
    <x:row r="19" ht="26" customHeight="1">
      <x:c r="A19" s="12"/>
      <x:c r="B19" s="12"/>
      <x:c r="C19" s="12"/>
      <x:c r="D19" s="12"/>
      <x:c r="E19" s="12"/>
      <x:c r="F19" s="12"/>
      <x:c r="G19" s="12"/>
      <x:c r="H19" s="12"/>
    </x:row>
    <x:row r="20" ht="26" customHeight="1">
      <x:c r="A20" s="12" t="str">
        <x:v>Операции: исходные A:F сохранены; G — статья, H — месяц</x:v>
      </x:c>
      <x:c r="B20" s="12"/>
      <x:c r="C20" s="12"/>
      <x:c r="D20" s="12"/>
      <x:c r="E20" s="12"/>
      <x:c r="F20" s="12"/>
      <x:c r="G20" s="12"/>
      <x:c r="H20" s="12"/>
    </x:row>
    <x:row r="21" ht="26" customHeight="1">
      <x:c r="A21" s="5" t="str">
        <x:v>ID</x:v>
      </x:c>
      <x:c r="B21" s="5" t="str">
        <x:v>Дата</x:v>
      </x:c>
      <x:c r="C21" s="5" t="str">
        <x:v>Назначение</x:v>
      </x:c>
      <x:c r="D21" s="5" t="str">
        <x:v>Сумма_руб</x:v>
      </x:c>
      <x:c r="E21" s="5" t="str">
        <x:v>Контрагент</x:v>
      </x:c>
      <x:c r="F21" s="5" t="str">
        <x:v>Канал</x:v>
      </x:c>
      <x:c r="G21" s="5" t="str">
        <x:v>Статья</x:v>
      </x:c>
      <x:c r="H21" s="5" t="str">
        <x:v>Месяц</x:v>
      </x:c>
    </x:row>
    <x:row r="22" ht="26" customHeight="1">
      <x:c r="A22" s="12" t="str">
        <x:v>B001</x:v>
      </x:c>
      <x:c r="B22" s="25" t="d">
        <x:v>2026-07-01T00:00:00.000Z</x:v>
      </x:c>
      <x:c r="C22" s="12" t="str">
        <x:v>Оплата консультации, заказ 700</x:v>
      </x:c>
      <x:c r="D22" s="26" t="n">
        <x:v>5000</x:v>
      </x:c>
      <x:c r="E22" s="12" t="str">
        <x:v>Клиент 01</x:v>
      </x:c>
      <x:c r="F22" s="12" t="str">
        <x:v>Сайт</x:v>
      </x:c>
      <x:c r="G22" s="12" t="str">
        <x:v>Оплата клиента</x:v>
      </x:c>
      <x:c r="H22" s="12" t="str">
        <x:f>TEXT(B22,"yyyy-mm")</x:f>
        <x:v>2026-07</x:v>
      </x:c>
    </x:row>
    <x:row r="23" ht="26" customHeight="1">
      <x:c r="A23" s="12" t="str">
        <x:v>B002</x:v>
      </x:c>
      <x:c r="B23" s="25" t="d">
        <x:v>2026-07-02T00:00:00.000Z</x:v>
      </x:c>
      <x:c r="C23" s="12" t="str">
        <x:v>Оплата консультации, заказ 701</x:v>
      </x:c>
      <x:c r="D23" s="26" t="n">
        <x:v>6500</x:v>
      </x:c>
      <x:c r="E23" s="12" t="str">
        <x:v>Клиент 02</x:v>
      </x:c>
      <x:c r="F23" s="12" t="str">
        <x:v>Рекомендации</x:v>
      </x:c>
      <x:c r="G23" s="12" t="str">
        <x:v>Оплата клиента</x:v>
      </x:c>
      <x:c r="H23" s="12" t="str">
        <x:f>TEXT(B23,"yyyy-mm")</x:f>
        <x:v>2026-07</x:v>
      </x:c>
    </x:row>
    <x:row r="24" ht="26" customHeight="1">
      <x:c r="A24" s="12" t="str">
        <x:v>B003</x:v>
      </x:c>
      <x:c r="B24" s="25" t="d">
        <x:v>2026-07-03T00:00:00.000Z</x:v>
      </x:c>
      <x:c r="C24" s="12" t="str">
        <x:v>Оплата консультации, заказ 702</x:v>
      </x:c>
      <x:c r="D24" s="26" t="n">
        <x:v>8000</x:v>
      </x:c>
      <x:c r="E24" s="12" t="str">
        <x:v>Клиент 03</x:v>
      </x:c>
      <x:c r="F24" s="12" t="str">
        <x:v>Соцсети</x:v>
      </x:c>
      <x:c r="G24" s="12" t="str">
        <x:v>Оплата клиента</x:v>
      </x:c>
      <x:c r="H24" s="12" t="str">
        <x:f>TEXT(B24,"yyyy-mm")</x:f>
        <x:v>2026-07</x:v>
      </x:c>
    </x:row>
    <x:row r="25" ht="26" customHeight="1">
      <x:c r="A25" s="12" t="str">
        <x:v>B004</x:v>
      </x:c>
      <x:c r="B25" s="25" t="d">
        <x:v>2026-07-04T00:00:00.000Z</x:v>
      </x:c>
      <x:c r="C25" s="12" t="str">
        <x:v>Оплата консультации, заказ 703</x:v>
      </x:c>
      <x:c r="D25" s="26" t="n">
        <x:v>9500</x:v>
      </x:c>
      <x:c r="E25" s="12" t="str">
        <x:v>Клиент 04</x:v>
      </x:c>
      <x:c r="F25" s="12" t="str">
        <x:v>Сайт</x:v>
      </x:c>
      <x:c r="G25" s="12" t="str">
        <x:v>Оплата клиента</x:v>
      </x:c>
      <x:c r="H25" s="12" t="str">
        <x:f>TEXT(B25,"yyyy-mm")</x:f>
        <x:v>2026-07</x:v>
      </x:c>
    </x:row>
    <x:row r="26" ht="26" customHeight="1">
      <x:c r="A26" s="12" t="str">
        <x:v>B005</x:v>
      </x:c>
      <x:c r="B26" s="25" t="d">
        <x:v>2026-07-05T00:00:00.000Z</x:v>
      </x:c>
      <x:c r="C26" s="12" t="str">
        <x:v>Оплата консультации, заказ 704</x:v>
      </x:c>
      <x:c r="D26" s="26" t="n">
        <x:v>5000</x:v>
      </x:c>
      <x:c r="E26" s="12" t="str">
        <x:v>Клиент 05</x:v>
      </x:c>
      <x:c r="F26" s="12" t="str">
        <x:v>Рекомендации</x:v>
      </x:c>
      <x:c r="G26" s="12" t="str">
        <x:v>Оплата клиента</x:v>
      </x:c>
      <x:c r="H26" s="12" t="str">
        <x:f>TEXT(B26,"yyyy-mm")</x:f>
        <x:v>2026-07</x:v>
      </x:c>
    </x:row>
    <x:row r="27" ht="26" customHeight="1">
      <x:c r="A27" s="12" t="str">
        <x:v>B006</x:v>
      </x:c>
      <x:c r="B27" s="25" t="d">
        <x:v>2026-07-06T00:00:00.000Z</x:v>
      </x:c>
      <x:c r="C27" s="12" t="str">
        <x:v>Оплата консультации, заказ 705</x:v>
      </x:c>
      <x:c r="D27" s="26" t="n">
        <x:v>6500</x:v>
      </x:c>
      <x:c r="E27" s="12" t="str">
        <x:v>Клиент 06</x:v>
      </x:c>
      <x:c r="F27" s="12" t="str">
        <x:v>Соцсети</x:v>
      </x:c>
      <x:c r="G27" s="12" t="str">
        <x:v>Оплата клиента</x:v>
      </x:c>
      <x:c r="H27" s="12" t="str">
        <x:f>TEXT(B27,"yyyy-mm")</x:f>
        <x:v>2026-07</x:v>
      </x:c>
    </x:row>
    <x:row r="28" ht="26" customHeight="1">
      <x:c r="A28" s="12" t="str">
        <x:v>B007</x:v>
      </x:c>
      <x:c r="B28" s="25" t="d">
        <x:v>2026-07-07T00:00:00.000Z</x:v>
      </x:c>
      <x:c r="C28" s="12" t="str">
        <x:v>Оплата консультации, заказ 706</x:v>
      </x:c>
      <x:c r="D28" s="26" t="n">
        <x:v>8000</x:v>
      </x:c>
      <x:c r="E28" s="12" t="str">
        <x:v>Клиент 07</x:v>
      </x:c>
      <x:c r="F28" s="12" t="str">
        <x:v>Сайт</x:v>
      </x:c>
      <x:c r="G28" s="12" t="str">
        <x:v>Оплата клиента</x:v>
      </x:c>
      <x:c r="H28" s="12" t="str">
        <x:f>TEXT(B28,"yyyy-mm")</x:f>
        <x:v>2026-07</x:v>
      </x:c>
    </x:row>
    <x:row r="29" ht="26" customHeight="1">
      <x:c r="A29" s="12" t="str">
        <x:v>B008</x:v>
      </x:c>
      <x:c r="B29" s="25" t="d">
        <x:v>2026-07-08T00:00:00.000Z</x:v>
      </x:c>
      <x:c r="C29" s="12" t="str">
        <x:v>Оплата консультации, заказ 707</x:v>
      </x:c>
      <x:c r="D29" s="26" t="n">
        <x:v>9500</x:v>
      </x:c>
      <x:c r="E29" s="12" t="str">
        <x:v>Клиент 08</x:v>
      </x:c>
      <x:c r="F29" s="12" t="str">
        <x:v>Рекомендации</x:v>
      </x:c>
      <x:c r="G29" s="12" t="str">
        <x:v>Оплата клиента</x:v>
      </x:c>
      <x:c r="H29" s="12" t="str">
        <x:f>TEXT(B29,"yyyy-mm")</x:f>
        <x:v>2026-07</x:v>
      </x:c>
    </x:row>
    <x:row r="30" ht="26" customHeight="1">
      <x:c r="A30" s="12" t="str">
        <x:v>B009</x:v>
      </x:c>
      <x:c r="B30" s="25" t="d">
        <x:v>2026-07-09T00:00:00.000Z</x:v>
      </x:c>
      <x:c r="C30" s="12" t="str">
        <x:v>Оплата консультации, заказ 708</x:v>
      </x:c>
      <x:c r="D30" s="26" t="n">
        <x:v>5000</x:v>
      </x:c>
      <x:c r="E30" s="12" t="str">
        <x:v>Клиент 09</x:v>
      </x:c>
      <x:c r="F30" s="12" t="str">
        <x:v>Соцсети</x:v>
      </x:c>
      <x:c r="G30" s="12" t="str">
        <x:v>Оплата клиента</x:v>
      </x:c>
      <x:c r="H30" s="12" t="str">
        <x:f>TEXT(B30,"yyyy-mm")</x:f>
        <x:v>2026-07</x:v>
      </x:c>
    </x:row>
    <x:row r="31" ht="26" customHeight="1">
      <x:c r="A31" s="12" t="str">
        <x:v>B010</x:v>
      </x:c>
      <x:c r="B31" s="25" t="d">
        <x:v>2026-07-10T00:00:00.000Z</x:v>
      </x:c>
      <x:c r="C31" s="12" t="str">
        <x:v>Оплата консультации, заказ 709</x:v>
      </x:c>
      <x:c r="D31" s="26" t="n">
        <x:v>6500</x:v>
      </x:c>
      <x:c r="E31" s="12" t="str">
        <x:v>Клиент 10</x:v>
      </x:c>
      <x:c r="F31" s="12" t="str">
        <x:v>Сайт</x:v>
      </x:c>
      <x:c r="G31" s="12" t="str">
        <x:v>Оплата клиента</x:v>
      </x:c>
      <x:c r="H31" s="12" t="str">
        <x:f>TEXT(B31,"yyyy-mm")</x:f>
        <x:v>2026-07</x:v>
      </x:c>
    </x:row>
    <x:row r="32" ht="26" customHeight="1">
      <x:c r="A32" s="12" t="str">
        <x:v>B011</x:v>
      </x:c>
      <x:c r="B32" s="25" t="d">
        <x:v>2026-07-11T00:00:00.000Z</x:v>
      </x:c>
      <x:c r="C32" s="12" t="str">
        <x:v>Оплата консультации, заказ 710</x:v>
      </x:c>
      <x:c r="D32" s="26" t="n">
        <x:v>8000</x:v>
      </x:c>
      <x:c r="E32" s="12" t="str">
        <x:v>Клиент 11</x:v>
      </x:c>
      <x:c r="F32" s="12" t="str">
        <x:v>Рекомендации</x:v>
      </x:c>
      <x:c r="G32" s="12" t="str">
        <x:v>Оплата клиента</x:v>
      </x:c>
      <x:c r="H32" s="12" t="str">
        <x:f>TEXT(B32,"yyyy-mm")</x:f>
        <x:v>2026-07</x:v>
      </x:c>
    </x:row>
    <x:row r="33" ht="26" customHeight="1">
      <x:c r="A33" s="12" t="str">
        <x:v>B012</x:v>
      </x:c>
      <x:c r="B33" s="25" t="d">
        <x:v>2026-07-12T00:00:00.000Z</x:v>
      </x:c>
      <x:c r="C33" s="12" t="str">
        <x:v>Оплата консультации, заказ 711</x:v>
      </x:c>
      <x:c r="D33" s="26" t="n">
        <x:v>9500</x:v>
      </x:c>
      <x:c r="E33" s="12" t="str">
        <x:v>Клиент 12</x:v>
      </x:c>
      <x:c r="F33" s="12" t="str">
        <x:v>Соцсети</x:v>
      </x:c>
      <x:c r="G33" s="12" t="str">
        <x:v>Оплата клиента</x:v>
      </x:c>
      <x:c r="H33" s="12" t="str">
        <x:f>TEXT(B33,"yyyy-mm")</x:f>
        <x:v>2026-07</x:v>
      </x:c>
    </x:row>
    <x:row r="34" ht="26" customHeight="1">
      <x:c r="A34" s="12" t="str">
        <x:v>B013</x:v>
      </x:c>
      <x:c r="B34" s="25" t="d">
        <x:v>2026-07-13T00:00:00.000Z</x:v>
      </x:c>
      <x:c r="C34" s="12" t="str">
        <x:v>Возврат клиенту по заказу 700</x:v>
      </x:c>
      <x:c r="D34" s="26" t="n">
        <x:v>-1800</x:v>
      </x:c>
      <x:c r="E34" s="12" t="str">
        <x:v>Клиент 01</x:v>
      </x:c>
      <x:c r="F34" s="12" t="str">
        <x:v>Сайт</x:v>
      </x:c>
      <x:c r="G34" s="12" t="str">
        <x:v>Возврат клиенту</x:v>
      </x:c>
      <x:c r="H34" s="12" t="str">
        <x:f>TEXT(B34,"yyyy-mm")</x:f>
        <x:v>2026-07</x:v>
      </x:c>
    </x:row>
    <x:row r="35" ht="26" customHeight="1">
      <x:c r="A35" s="12" t="str">
        <x:v>B014</x:v>
      </x:c>
      <x:c r="B35" s="25" t="d">
        <x:v>2026-07-14T00:00:00.000Z</x:v>
      </x:c>
      <x:c r="C35" s="12" t="str">
        <x:v>Возврат клиенту по заказу 701</x:v>
      </x:c>
      <x:c r="D35" s="26" t="n">
        <x:v>-2200</x:v>
      </x:c>
      <x:c r="E35" s="12" t="str">
        <x:v>Клиент 02</x:v>
      </x:c>
      <x:c r="F35" s="12" t="str">
        <x:v>Сайт</x:v>
      </x:c>
      <x:c r="G35" s="12" t="str">
        <x:v>Возврат клиенту</x:v>
      </x:c>
      <x:c r="H35" s="12" t="str">
        <x:f>TEXT(B35,"yyyy-mm")</x:f>
        <x:v>2026-07</x:v>
      </x:c>
    </x:row>
    <x:row r="36" ht="26" customHeight="1">
      <x:c r="A36" s="12" t="str">
        <x:v>B015</x:v>
      </x:c>
      <x:c r="B36" s="25" t="d">
        <x:v>2026-07-15T00:00:00.000Z</x:v>
      </x:c>
      <x:c r="C36" s="12" t="str">
        <x:v>Оплата подрядчику за подготовку материалов 1</x:v>
      </x:c>
      <x:c r="D36" s="26" t="n">
        <x:v>-2200</x:v>
      </x:c>
      <x:c r="E36" s="12" t="str">
        <x:v>Подрядчик 1</x:v>
      </x:c>
      <x:c r="F36" s="12" t="str">
        <x:v>Банк</x:v>
      </x:c>
      <x:c r="G36" s="12" t="str">
        <x:v>Подрядчики</x:v>
      </x:c>
      <x:c r="H36" s="12" t="str">
        <x:f>TEXT(B36,"yyyy-mm")</x:f>
        <x:v>2026-07</x:v>
      </x:c>
    </x:row>
    <x:row r="37" ht="26" customHeight="1">
      <x:c r="A37" s="12" t="str">
        <x:v>B016</x:v>
      </x:c>
      <x:c r="B37" s="25" t="d">
        <x:v>2026-07-16T00:00:00.000Z</x:v>
      </x:c>
      <x:c r="C37" s="12" t="str">
        <x:v>Оплата подрядчику за подготовку материалов 2</x:v>
      </x:c>
      <x:c r="D37" s="26" t="n">
        <x:v>-2550</x:v>
      </x:c>
      <x:c r="E37" s="12" t="str">
        <x:v>Подрядчик 2</x:v>
      </x:c>
      <x:c r="F37" s="12" t="str">
        <x:v>Банк</x:v>
      </x:c>
      <x:c r="G37" s="12" t="str">
        <x:v>Подрядчики</x:v>
      </x:c>
      <x:c r="H37" s="12" t="str">
        <x:f>TEXT(B37,"yyyy-mm")</x:f>
        <x:v>2026-07</x:v>
      </x:c>
    </x:row>
    <x:row r="38" ht="26" customHeight="1">
      <x:c r="A38" s="12" t="str">
        <x:v>B017</x:v>
      </x:c>
      <x:c r="B38" s="25" t="d">
        <x:v>2026-07-17T00:00:00.000Z</x:v>
      </x:c>
      <x:c r="C38" s="12" t="str">
        <x:v>Оплата подрядчику за подготовку материалов 3</x:v>
      </x:c>
      <x:c r="D38" s="26" t="n">
        <x:v>-2900</x:v>
      </x:c>
      <x:c r="E38" s="12" t="str">
        <x:v>Подрядчик 3</x:v>
      </x:c>
      <x:c r="F38" s="12" t="str">
        <x:v>Банк</x:v>
      </x:c>
      <x:c r="G38" s="12" t="str">
        <x:v>Подрядчики</x:v>
      </x:c>
      <x:c r="H38" s="12" t="str">
        <x:f>TEXT(B38,"yyyy-mm")</x:f>
        <x:v>2026-07</x:v>
      </x:c>
    </x:row>
    <x:row r="39" ht="26" customHeight="1">
      <x:c r="A39" s="12" t="str">
        <x:v>B018</x:v>
      </x:c>
      <x:c r="B39" s="25" t="d">
        <x:v>2026-07-18T00:00:00.000Z</x:v>
      </x:c>
      <x:c r="C39" s="12" t="str">
        <x:v>Оплата подрядчику за подготовку материалов 4</x:v>
      </x:c>
      <x:c r="D39" s="26" t="n">
        <x:v>-3250</x:v>
      </x:c>
      <x:c r="E39" s="12" t="str">
        <x:v>Подрядчик 4</x:v>
      </x:c>
      <x:c r="F39" s="12" t="str">
        <x:v>Банк</x:v>
      </x:c>
      <x:c r="G39" s="12" t="str">
        <x:v>Подрядчики</x:v>
      </x:c>
      <x:c r="H39" s="12" t="str">
        <x:f>TEXT(B39,"yyyy-mm")</x:f>
        <x:v>2026-07</x:v>
      </x:c>
    </x:row>
    <x:row r="40" ht="26" customHeight="1">
      <x:c r="A40" s="12" t="str">
        <x:v>B019</x:v>
      </x:c>
      <x:c r="B40" s="25" t="d">
        <x:v>2026-07-19T00:00:00.000Z</x:v>
      </x:c>
      <x:c r="C40" s="12" t="str">
        <x:v>Рекламная кампания 1</x:v>
      </x:c>
      <x:c r="D40" s="26" t="n">
        <x:v>-3500</x:v>
      </x:c>
      <x:c r="E40" s="12" t="str">
        <x:v>Рекламная площадка</x:v>
      </x:c>
      <x:c r="F40" s="12" t="str">
        <x:v>Банк</x:v>
      </x:c>
      <x:c r="G40" s="12" t="str">
        <x:v>Реклама</x:v>
      </x:c>
      <x:c r="H40" s="12" t="str">
        <x:f>TEXT(B40,"yyyy-mm")</x:f>
        <x:v>2026-07</x:v>
      </x:c>
    </x:row>
    <x:row r="41" ht="26" customHeight="1">
      <x:c r="A41" s="12" t="str">
        <x:v>B020</x:v>
      </x:c>
      <x:c r="B41" s="25" t="d">
        <x:v>2026-07-20T00:00:00.000Z</x:v>
      </x:c>
      <x:c r="C41" s="12" t="str">
        <x:v>Рекламная кампания 2</x:v>
      </x:c>
      <x:c r="D41" s="26" t="n">
        <x:v>-3750</x:v>
      </x:c>
      <x:c r="E41" s="12" t="str">
        <x:v>Рекламная площадка</x:v>
      </x:c>
      <x:c r="F41" s="12" t="str">
        <x:v>Банк</x:v>
      </x:c>
      <x:c r="G41" s="12" t="str">
        <x:v>Реклама</x:v>
      </x:c>
      <x:c r="H41" s="12" t="str">
        <x:f>TEXT(B41,"yyyy-mm")</x:f>
        <x:v>2026-07</x:v>
      </x:c>
    </x:row>
    <x:row r="42" ht="26" customHeight="1">
      <x:c r="A42" s="12" t="str">
        <x:v>B021</x:v>
      </x:c>
      <x:c r="B42" s="25" t="d">
        <x:v>2026-07-21T00:00:00.000Z</x:v>
      </x:c>
      <x:c r="C42" s="12" t="str">
        <x:v>Рекламная кампания 3</x:v>
      </x:c>
      <x:c r="D42" s="26" t="n">
        <x:v>-4000</x:v>
      </x:c>
      <x:c r="E42" s="12" t="str">
        <x:v>Рекламная площадка</x:v>
      </x:c>
      <x:c r="F42" s="12" t="str">
        <x:v>Банк</x:v>
      </x:c>
      <x:c r="G42" s="12" t="str">
        <x:v>Реклама</x:v>
      </x:c>
      <x:c r="H42" s="12" t="str">
        <x:f>TEXT(B42,"yyyy-mm")</x:f>
        <x:v>2026-07</x:v>
      </x:c>
    </x:row>
    <x:row r="43" ht="26" customHeight="1">
      <x:c r="A43" s="12" t="str">
        <x:v>B022</x:v>
      </x:c>
      <x:c r="B43" s="25" t="d">
        <x:v>2026-07-22T00:00:00.000Z</x:v>
      </x:c>
      <x:c r="C43" s="12" t="str">
        <x:v>Подписка на рабочий сервис 1</x:v>
      </x:c>
      <x:c r="D43" s="26" t="n">
        <x:v>-900</x:v>
      </x:c>
      <x:c r="E43" s="12" t="str">
        <x:v>Рабочий сервис</x:v>
      </x:c>
      <x:c r="F43" s="12" t="str">
        <x:v>Карта</x:v>
      </x:c>
      <x:c r="G43" s="12" t="str">
        <x:v>Сервисы</x:v>
      </x:c>
      <x:c r="H43" s="12" t="str">
        <x:f>TEXT(B43,"yyyy-mm")</x:f>
        <x:v>2026-07</x:v>
      </x:c>
    </x:row>
    <x:row r="44" ht="26" customHeight="1">
      <x:c r="A44" s="12" t="str">
        <x:v>B023</x:v>
      </x:c>
      <x:c r="B44" s="25" t="d">
        <x:v>2026-07-23T00:00:00.000Z</x:v>
      </x:c>
      <x:c r="C44" s="12" t="str">
        <x:v>Подписка на рабочий сервис 2</x:v>
      </x:c>
      <x:c r="D44" s="26" t="n">
        <x:v>-1300</x:v>
      </x:c>
      <x:c r="E44" s="12" t="str">
        <x:v>Рабочий сервис</x:v>
      </x:c>
      <x:c r="F44" s="12" t="str">
        <x:v>Карта</x:v>
      </x:c>
      <x:c r="G44" s="12" t="str">
        <x:v>Сервисы</x:v>
      </x:c>
      <x:c r="H44" s="12" t="str">
        <x:f>TEXT(B44,"yyyy-mm")</x:f>
        <x:v>2026-07</x:v>
      </x:c>
    </x:row>
    <x:row r="45" ht="26" customHeight="1">
      <x:c r="A45" s="12" t="str">
        <x:v>B024</x:v>
      </x:c>
      <x:c r="B45" s="25" t="d">
        <x:v>2026-07-24T00:00:00.000Z</x:v>
      </x:c>
      <x:c r="C45" s="12" t="str">
        <x:v>Перевод на свой личный счёт</x:v>
      </x:c>
      <x:c r="D45" s="26" t="n">
        <x:v>-12000</x:v>
      </x:c>
      <x:c r="E45" s="12" t="str">
        <x:v>Собственный счёт</x:v>
      </x:c>
      <x:c r="F45" s="12" t="str">
        <x:v>Банк</x:v>
      </x:c>
      <x:c r="G45" s="12" t="str">
        <x:v>Перевод себе</x:v>
      </x:c>
      <x:c r="H45" s="12" t="str">
        <x:f>TEXT(B45,"yyyy-mm")</x:f>
        <x:v>2026-07</x:v>
      </x:c>
    </x:row>
    <x:row r="46" ht="26" customHeight="1">
      <x:c r="A46" s="12" t="str">
        <x:v>B025</x:v>
      </x:c>
      <x:c r="B46" s="25" t="d">
        <x:v>2026-07-25T00:00:00.000Z</x:v>
      </x:c>
      <x:c r="C46" s="12" t="str">
        <x:v>Пополнение от владельца</x:v>
      </x:c>
      <x:c r="D46" s="26" t="n">
        <x:v>20000</x:v>
      </x:c>
      <x:c r="E46" s="12" t="str">
        <x:v>Владелец</x:v>
      </x:c>
      <x:c r="F46" s="12" t="str">
        <x:v>Банк</x:v>
      </x:c>
      <x:c r="G46" s="12" t="str">
        <x:v>Взнос владельца</x:v>
      </x:c>
      <x:c r="H46" s="12" t="str">
        <x:f>TEXT(B46,"yyyy-mm")</x:f>
        <x:v>2026-07</x:v>
      </x:c>
    </x:row>
    <x:row r="47" ht="26" customHeight="1">
      <x:c r="A47" s="12" t="str">
        <x:v>B026</x:v>
      </x:c>
      <x:c r="B47" s="25" t="d">
        <x:v>2026-07-26T00:00:00.000Z</x:v>
      </x:c>
      <x:c r="C47" s="12" t="str">
        <x:v>Оплата по реквизитам без назначения</x:v>
      </x:c>
      <x:c r="D47" s="26" t="n">
        <x:v>-1700</x:v>
      </x:c>
      <x:c r="E47" s="12" t="str">
        <x:v>Контрагент не указан</x:v>
      </x:c>
      <x:c r="F47" s="12" t="str">
        <x:v>Банк</x:v>
      </x:c>
      <x:c r="G47" s="12" t="str">
        <x:v>Нужно уточнить</x:v>
      </x:c>
      <x:c r="H47" s="12" t="str">
        <x:f>TEXT(B47,"yyyy-mm")</x:f>
        <x:v>2026-07</x:v>
      </x:c>
    </x:row>
    <x:row r="48" ht="26" customHeight="1">
      <x:c r="A48" s="12" t="str">
        <x:v>B027</x:v>
      </x:c>
      <x:c r="B48" s="25" t="d">
        <x:v>2026-08-01T00:00:00.000Z</x:v>
      </x:c>
      <x:c r="C48" s="12" t="str">
        <x:v>Оплата консультации, заказ 800</x:v>
      </x:c>
      <x:c r="D48" s="26" t="n">
        <x:v>6000</x:v>
      </x:c>
      <x:c r="E48" s="12" t="str">
        <x:v>Клиент 01</x:v>
      </x:c>
      <x:c r="F48" s="12" t="str">
        <x:v>Сайт</x:v>
      </x:c>
      <x:c r="G48" s="12" t="str">
        <x:v>Оплата клиента</x:v>
      </x:c>
      <x:c r="H48" s="12" t="str">
        <x:f>TEXT(B48,"yyyy-mm")</x:f>
        <x:v>2026-08</x:v>
      </x:c>
    </x:row>
    <x:row r="49" ht="26" customHeight="1">
      <x:c r="A49" s="12" t="str">
        <x:v>B028</x:v>
      </x:c>
      <x:c r="B49" s="25" t="d">
        <x:v>2026-08-02T00:00:00.000Z</x:v>
      </x:c>
      <x:c r="C49" s="12" t="str">
        <x:v>Оплата консультации, заказ 801</x:v>
      </x:c>
      <x:c r="D49" s="26" t="n">
        <x:v>7500</x:v>
      </x:c>
      <x:c r="E49" s="12" t="str">
        <x:v>Клиент 02</x:v>
      </x:c>
      <x:c r="F49" s="12" t="str">
        <x:v>Рекомендации</x:v>
      </x:c>
      <x:c r="G49" s="12" t="str">
        <x:v>Оплата клиента</x:v>
      </x:c>
      <x:c r="H49" s="12" t="str">
        <x:f>TEXT(B49,"yyyy-mm")</x:f>
        <x:v>2026-08</x:v>
      </x:c>
    </x:row>
    <x:row r="50" ht="26" customHeight="1">
      <x:c r="A50" s="12" t="str">
        <x:v>B029</x:v>
      </x:c>
      <x:c r="B50" s="25" t="d">
        <x:v>2026-08-03T00:00:00.000Z</x:v>
      </x:c>
      <x:c r="C50" s="12" t="str">
        <x:v>Оплата консультации, заказ 802</x:v>
      </x:c>
      <x:c r="D50" s="26" t="n">
        <x:v>9000</x:v>
      </x:c>
      <x:c r="E50" s="12" t="str">
        <x:v>Клиент 03</x:v>
      </x:c>
      <x:c r="F50" s="12" t="str">
        <x:v>Соцсети</x:v>
      </x:c>
      <x:c r="G50" s="12" t="str">
        <x:v>Оплата клиента</x:v>
      </x:c>
      <x:c r="H50" s="12" t="str">
        <x:f>TEXT(B50,"yyyy-mm")</x:f>
        <x:v>2026-08</x:v>
      </x:c>
    </x:row>
    <x:row r="51" ht="26" customHeight="1">
      <x:c r="A51" s="12" t="str">
        <x:v>B030</x:v>
      </x:c>
      <x:c r="B51" s="25" t="d">
        <x:v>2026-08-04T00:00:00.000Z</x:v>
      </x:c>
      <x:c r="C51" s="12" t="str">
        <x:v>Оплата консультации, заказ 803</x:v>
      </x:c>
      <x:c r="D51" s="26" t="n">
        <x:v>10500</x:v>
      </x:c>
      <x:c r="E51" s="12" t="str">
        <x:v>Клиент 04</x:v>
      </x:c>
      <x:c r="F51" s="12" t="str">
        <x:v>Сайт</x:v>
      </x:c>
      <x:c r="G51" s="12" t="str">
        <x:v>Оплата клиента</x:v>
      </x:c>
      <x:c r="H51" s="12" t="str">
        <x:f>TEXT(B51,"yyyy-mm")</x:f>
        <x:v>2026-08</x:v>
      </x:c>
    </x:row>
    <x:row r="52" ht="26" customHeight="1">
      <x:c r="A52" s="12" t="str">
        <x:v>B031</x:v>
      </x:c>
      <x:c r="B52" s="25" t="d">
        <x:v>2026-08-05T00:00:00.000Z</x:v>
      </x:c>
      <x:c r="C52" s="12" t="str">
        <x:v>Оплата консультации, заказ 804</x:v>
      </x:c>
      <x:c r="D52" s="26" t="n">
        <x:v>6000</x:v>
      </x:c>
      <x:c r="E52" s="12" t="str">
        <x:v>Клиент 05</x:v>
      </x:c>
      <x:c r="F52" s="12" t="str">
        <x:v>Рекомендации</x:v>
      </x:c>
      <x:c r="G52" s="12" t="str">
        <x:v>Оплата клиента</x:v>
      </x:c>
      <x:c r="H52" s="12" t="str">
        <x:f>TEXT(B52,"yyyy-mm")</x:f>
        <x:v>2026-08</x:v>
      </x:c>
    </x:row>
    <x:row r="53" ht="26" customHeight="1">
      <x:c r="A53" s="12" t="str">
        <x:v>B032</x:v>
      </x:c>
      <x:c r="B53" s="25" t="d">
        <x:v>2026-08-06T00:00:00.000Z</x:v>
      </x:c>
      <x:c r="C53" s="12" t="str">
        <x:v>Оплата консультации, заказ 805</x:v>
      </x:c>
      <x:c r="D53" s="26" t="n">
        <x:v>7500</x:v>
      </x:c>
      <x:c r="E53" s="12" t="str">
        <x:v>Клиент 06</x:v>
      </x:c>
      <x:c r="F53" s="12" t="str">
        <x:v>Соцсети</x:v>
      </x:c>
      <x:c r="G53" s="12" t="str">
        <x:v>Оплата клиента</x:v>
      </x:c>
      <x:c r="H53" s="12" t="str">
        <x:f>TEXT(B53,"yyyy-mm")</x:f>
        <x:v>2026-08</x:v>
      </x:c>
    </x:row>
    <x:row r="54" ht="26" customHeight="1">
      <x:c r="A54" s="12" t="str">
        <x:v>B033</x:v>
      </x:c>
      <x:c r="B54" s="25" t="d">
        <x:v>2026-08-07T00:00:00.000Z</x:v>
      </x:c>
      <x:c r="C54" s="12" t="str">
        <x:v>Оплата консультации, заказ 806</x:v>
      </x:c>
      <x:c r="D54" s="26" t="n">
        <x:v>9000</x:v>
      </x:c>
      <x:c r="E54" s="12" t="str">
        <x:v>Клиент 07</x:v>
      </x:c>
      <x:c r="F54" s="12" t="str">
        <x:v>Сайт</x:v>
      </x:c>
      <x:c r="G54" s="12" t="str">
        <x:v>Оплата клиента</x:v>
      </x:c>
      <x:c r="H54" s="12" t="str">
        <x:f>TEXT(B54,"yyyy-mm")</x:f>
        <x:v>2026-08</x:v>
      </x:c>
    </x:row>
    <x:row r="55" ht="26" customHeight="1">
      <x:c r="A55" s="12" t="str">
        <x:v>B034</x:v>
      </x:c>
      <x:c r="B55" s="25" t="d">
        <x:v>2026-08-08T00:00:00.000Z</x:v>
      </x:c>
      <x:c r="C55" s="12" t="str">
        <x:v>Оплата консультации, заказ 807</x:v>
      </x:c>
      <x:c r="D55" s="26" t="n">
        <x:v>10500</x:v>
      </x:c>
      <x:c r="E55" s="12" t="str">
        <x:v>Клиент 08</x:v>
      </x:c>
      <x:c r="F55" s="12" t="str">
        <x:v>Рекомендации</x:v>
      </x:c>
      <x:c r="G55" s="12" t="str">
        <x:v>Оплата клиента</x:v>
      </x:c>
      <x:c r="H55" s="12" t="str">
        <x:f>TEXT(B55,"yyyy-mm")</x:f>
        <x:v>2026-08</x:v>
      </x:c>
    </x:row>
    <x:row r="56" ht="26" customHeight="1">
      <x:c r="A56" s="12" t="str">
        <x:v>B035</x:v>
      </x:c>
      <x:c r="B56" s="25" t="d">
        <x:v>2026-08-09T00:00:00.000Z</x:v>
      </x:c>
      <x:c r="C56" s="12" t="str">
        <x:v>Оплата консультации, заказ 808</x:v>
      </x:c>
      <x:c r="D56" s="26" t="n">
        <x:v>6000</x:v>
      </x:c>
      <x:c r="E56" s="12" t="str">
        <x:v>Клиент 09</x:v>
      </x:c>
      <x:c r="F56" s="12" t="str">
        <x:v>Соцсети</x:v>
      </x:c>
      <x:c r="G56" s="12" t="str">
        <x:v>Оплата клиента</x:v>
      </x:c>
      <x:c r="H56" s="12" t="str">
        <x:f>TEXT(B56,"yyyy-mm")</x:f>
        <x:v>2026-08</x:v>
      </x:c>
    </x:row>
    <x:row r="57" ht="26" customHeight="1">
      <x:c r="A57" s="12" t="str">
        <x:v>B036</x:v>
      </x:c>
      <x:c r="B57" s="25" t="d">
        <x:v>2026-08-10T00:00:00.000Z</x:v>
      </x:c>
      <x:c r="C57" s="12" t="str">
        <x:v>Оплата консультации, заказ 809</x:v>
      </x:c>
      <x:c r="D57" s="26" t="n">
        <x:v>7500</x:v>
      </x:c>
      <x:c r="E57" s="12" t="str">
        <x:v>Клиент 10</x:v>
      </x:c>
      <x:c r="F57" s="12" t="str">
        <x:v>Сайт</x:v>
      </x:c>
      <x:c r="G57" s="12" t="str">
        <x:v>Оплата клиента</x:v>
      </x:c>
      <x:c r="H57" s="12" t="str">
        <x:f>TEXT(B57,"yyyy-mm")</x:f>
        <x:v>2026-08</x:v>
      </x:c>
    </x:row>
    <x:row r="58" ht="26" customHeight="1">
      <x:c r="A58" s="12" t="str">
        <x:v>B037</x:v>
      </x:c>
      <x:c r="B58" s="25" t="d">
        <x:v>2026-08-11T00:00:00.000Z</x:v>
      </x:c>
      <x:c r="C58" s="12" t="str">
        <x:v>Оплата консультации, заказ 810</x:v>
      </x:c>
      <x:c r="D58" s="26" t="n">
        <x:v>9000</x:v>
      </x:c>
      <x:c r="E58" s="12" t="str">
        <x:v>Клиент 11</x:v>
      </x:c>
      <x:c r="F58" s="12" t="str">
        <x:v>Рекомендации</x:v>
      </x:c>
      <x:c r="G58" s="12" t="str">
        <x:v>Оплата клиента</x:v>
      </x:c>
      <x:c r="H58" s="12" t="str">
        <x:f>TEXT(B58,"yyyy-mm")</x:f>
        <x:v>2026-08</x:v>
      </x:c>
    </x:row>
    <x:row r="59" ht="26" customHeight="1">
      <x:c r="A59" s="12" t="str">
        <x:v>B038</x:v>
      </x:c>
      <x:c r="B59" s="25" t="d">
        <x:v>2026-08-12T00:00:00.000Z</x:v>
      </x:c>
      <x:c r="C59" s="12" t="str">
        <x:v>Оплата консультации, заказ 811</x:v>
      </x:c>
      <x:c r="D59" s="26" t="n">
        <x:v>10500</x:v>
      </x:c>
      <x:c r="E59" s="12" t="str">
        <x:v>Клиент 12</x:v>
      </x:c>
      <x:c r="F59" s="12" t="str">
        <x:v>Соцсети</x:v>
      </x:c>
      <x:c r="G59" s="12" t="str">
        <x:v>Оплата клиента</x:v>
      </x:c>
      <x:c r="H59" s="12" t="str">
        <x:f>TEXT(B59,"yyyy-mm")</x:f>
        <x:v>2026-08</x:v>
      </x:c>
    </x:row>
    <x:row r="60" ht="26" customHeight="1">
      <x:c r="A60" s="12" t="str">
        <x:v>B039</x:v>
      </x:c>
      <x:c r="B60" s="25" t="d">
        <x:v>2026-08-13T00:00:00.000Z</x:v>
      </x:c>
      <x:c r="C60" s="12" t="str">
        <x:v>Возврат клиенту по заказу 800</x:v>
      </x:c>
      <x:c r="D60" s="26" t="n">
        <x:v>-2000</x:v>
      </x:c>
      <x:c r="E60" s="12" t="str">
        <x:v>Клиент 01</x:v>
      </x:c>
      <x:c r="F60" s="12" t="str">
        <x:v>Сайт</x:v>
      </x:c>
      <x:c r="G60" s="12" t="str">
        <x:v>Возврат клиенту</x:v>
      </x:c>
      <x:c r="H60" s="12" t="str">
        <x:f>TEXT(B60,"yyyy-mm")</x:f>
        <x:v>2026-08</x:v>
      </x:c>
    </x:row>
    <x:row r="61" ht="26" customHeight="1">
      <x:c r="A61" s="12" t="str">
        <x:v>B040</x:v>
      </x:c>
      <x:c r="B61" s="25" t="d">
        <x:v>2026-08-14T00:00:00.000Z</x:v>
      </x:c>
      <x:c r="C61" s="12" t="str">
        <x:v>Возврат клиенту по заказу 801</x:v>
      </x:c>
      <x:c r="D61" s="26" t="n">
        <x:v>-2400</x:v>
      </x:c>
      <x:c r="E61" s="12" t="str">
        <x:v>Клиент 02</x:v>
      </x:c>
      <x:c r="F61" s="12" t="str">
        <x:v>Сайт</x:v>
      </x:c>
      <x:c r="G61" s="12" t="str">
        <x:v>Возврат клиенту</x:v>
      </x:c>
      <x:c r="H61" s="12" t="str">
        <x:f>TEXT(B61,"yyyy-mm")</x:f>
        <x:v>2026-08</x:v>
      </x:c>
    </x:row>
    <x:row r="62" ht="26" customHeight="1">
      <x:c r="A62" s="12" t="str">
        <x:v>B041</x:v>
      </x:c>
      <x:c r="B62" s="25" t="d">
        <x:v>2026-08-15T00:00:00.000Z</x:v>
      </x:c>
      <x:c r="C62" s="12" t="str">
        <x:v>Оплата подрядчику за подготовку материалов 1</x:v>
      </x:c>
      <x:c r="D62" s="26" t="n">
        <x:v>-2350</x:v>
      </x:c>
      <x:c r="E62" s="12" t="str">
        <x:v>Подрядчик 1</x:v>
      </x:c>
      <x:c r="F62" s="12" t="str">
        <x:v>Банк</x:v>
      </x:c>
      <x:c r="G62" s="12" t="str">
        <x:v>Подрядчики</x:v>
      </x:c>
      <x:c r="H62" s="12" t="str">
        <x:f>TEXT(B62,"yyyy-mm")</x:f>
        <x:v>2026-08</x:v>
      </x:c>
    </x:row>
    <x:row r="63" ht="26" customHeight="1">
      <x:c r="A63" s="12" t="str">
        <x:v>B042</x:v>
      </x:c>
      <x:c r="B63" s="25" t="d">
        <x:v>2026-08-16T00:00:00.000Z</x:v>
      </x:c>
      <x:c r="C63" s="12" t="str">
        <x:v>Оплата подрядчику за подготовку материалов 2</x:v>
      </x:c>
      <x:c r="D63" s="26" t="n">
        <x:v>-2700</x:v>
      </x:c>
      <x:c r="E63" s="12" t="str">
        <x:v>Подрядчик 2</x:v>
      </x:c>
      <x:c r="F63" s="12" t="str">
        <x:v>Банк</x:v>
      </x:c>
      <x:c r="G63" s="12" t="str">
        <x:v>Подрядчики</x:v>
      </x:c>
      <x:c r="H63" s="12" t="str">
        <x:f>TEXT(B63,"yyyy-mm")</x:f>
        <x:v>2026-08</x:v>
      </x:c>
    </x:row>
    <x:row r="64" ht="26" customHeight="1">
      <x:c r="A64" s="12" t="str">
        <x:v>B043</x:v>
      </x:c>
      <x:c r="B64" s="25" t="d">
        <x:v>2026-08-17T00:00:00.000Z</x:v>
      </x:c>
      <x:c r="C64" s="12" t="str">
        <x:v>Оплата подрядчику за подготовку материалов 3</x:v>
      </x:c>
      <x:c r="D64" s="26" t="n">
        <x:v>-3050</x:v>
      </x:c>
      <x:c r="E64" s="12" t="str">
        <x:v>Подрядчик 3</x:v>
      </x:c>
      <x:c r="F64" s="12" t="str">
        <x:v>Банк</x:v>
      </x:c>
      <x:c r="G64" s="12" t="str">
        <x:v>Подрядчики</x:v>
      </x:c>
      <x:c r="H64" s="12" t="str">
        <x:f>TEXT(B64,"yyyy-mm")</x:f>
        <x:v>2026-08</x:v>
      </x:c>
    </x:row>
    <x:row r="65" ht="26" customHeight="1">
      <x:c r="A65" s="12" t="str">
        <x:v>B044</x:v>
      </x:c>
      <x:c r="B65" s="25" t="d">
        <x:v>2026-08-18T00:00:00.000Z</x:v>
      </x:c>
      <x:c r="C65" s="12" t="str">
        <x:v>Оплата подрядчику за подготовку материалов 4</x:v>
      </x:c>
      <x:c r="D65" s="26" t="n">
        <x:v>-3400</x:v>
      </x:c>
      <x:c r="E65" s="12" t="str">
        <x:v>Подрядчик 4</x:v>
      </x:c>
      <x:c r="F65" s="12" t="str">
        <x:v>Банк</x:v>
      </x:c>
      <x:c r="G65" s="12" t="str">
        <x:v>Подрядчики</x:v>
      </x:c>
      <x:c r="H65" s="12" t="str">
        <x:f>TEXT(B65,"yyyy-mm")</x:f>
        <x:v>2026-08</x:v>
      </x:c>
    </x:row>
    <x:row r="66" ht="26" customHeight="1">
      <x:c r="A66" s="12" t="str">
        <x:v>B045</x:v>
      </x:c>
      <x:c r="B66" s="25" t="d">
        <x:v>2026-08-19T00:00:00.000Z</x:v>
      </x:c>
      <x:c r="C66" s="12" t="str">
        <x:v>Рекламная кампания 1</x:v>
      </x:c>
      <x:c r="D66" s="26" t="n">
        <x:v>-4000</x:v>
      </x:c>
      <x:c r="E66" s="12" t="str">
        <x:v>Рекламная площадка</x:v>
      </x:c>
      <x:c r="F66" s="12" t="str">
        <x:v>Банк</x:v>
      </x:c>
      <x:c r="G66" s="12" t="str">
        <x:v>Реклама</x:v>
      </x:c>
      <x:c r="H66" s="12" t="str">
        <x:f>TEXT(B66,"yyyy-mm")</x:f>
        <x:v>2026-08</x:v>
      </x:c>
    </x:row>
    <x:row r="67" ht="26" customHeight="1">
      <x:c r="A67" s="12" t="str">
        <x:v>B046</x:v>
      </x:c>
      <x:c r="B67" s="25" t="d">
        <x:v>2026-08-20T00:00:00.000Z</x:v>
      </x:c>
      <x:c r="C67" s="12" t="str">
        <x:v>Рекламная кампания 2</x:v>
      </x:c>
      <x:c r="D67" s="26" t="n">
        <x:v>-4250</x:v>
      </x:c>
      <x:c r="E67" s="12" t="str">
        <x:v>Рекламная площадка</x:v>
      </x:c>
      <x:c r="F67" s="12" t="str">
        <x:v>Банк</x:v>
      </x:c>
      <x:c r="G67" s="12" t="str">
        <x:v>Реклама</x:v>
      </x:c>
      <x:c r="H67" s="12" t="str">
        <x:f>TEXT(B67,"yyyy-mm")</x:f>
        <x:v>2026-08</x:v>
      </x:c>
    </x:row>
    <x:row r="68" ht="26" customHeight="1">
      <x:c r="A68" s="12" t="str">
        <x:v>B047</x:v>
      </x:c>
      <x:c r="B68" s="25" t="d">
        <x:v>2026-08-21T00:00:00.000Z</x:v>
      </x:c>
      <x:c r="C68" s="12" t="str">
        <x:v>Рекламная кампания 3</x:v>
      </x:c>
      <x:c r="D68" s="26" t="n">
        <x:v>-4500</x:v>
      </x:c>
      <x:c r="E68" s="12" t="str">
        <x:v>Рекламная площадка</x:v>
      </x:c>
      <x:c r="F68" s="12" t="str">
        <x:v>Банк</x:v>
      </x:c>
      <x:c r="G68" s="12" t="str">
        <x:v>Реклама</x:v>
      </x:c>
      <x:c r="H68" s="12" t="str">
        <x:f>TEXT(B68,"yyyy-mm")</x:f>
        <x:v>2026-08</x:v>
      </x:c>
    </x:row>
    <x:row r="69" ht="26" customHeight="1">
      <x:c r="A69" s="12" t="str">
        <x:v>B048</x:v>
      </x:c>
      <x:c r="B69" s="25" t="d">
        <x:v>2026-08-22T00:00:00.000Z</x:v>
      </x:c>
      <x:c r="C69" s="12" t="str">
        <x:v>Подписка на рабочий сервис 1</x:v>
      </x:c>
      <x:c r="D69" s="26" t="n">
        <x:v>-900</x:v>
      </x:c>
      <x:c r="E69" s="12" t="str">
        <x:v>Рабочий сервис</x:v>
      </x:c>
      <x:c r="F69" s="12" t="str">
        <x:v>Карта</x:v>
      </x:c>
      <x:c r="G69" s="12" t="str">
        <x:v>Сервисы</x:v>
      </x:c>
      <x:c r="H69" s="12" t="str">
        <x:f>TEXT(B69,"yyyy-mm")</x:f>
        <x:v>2026-08</x:v>
      </x:c>
    </x:row>
    <x:row r="70" ht="26" customHeight="1">
      <x:c r="A70" s="12" t="str">
        <x:v>B049</x:v>
      </x:c>
      <x:c r="B70" s="25" t="d">
        <x:v>2026-08-23T00:00:00.000Z</x:v>
      </x:c>
      <x:c r="C70" s="12" t="str">
        <x:v>Подписка на рабочий сервис 2</x:v>
      </x:c>
      <x:c r="D70" s="26" t="n">
        <x:v>-1300</x:v>
      </x:c>
      <x:c r="E70" s="12" t="str">
        <x:v>Рабочий сервис</x:v>
      </x:c>
      <x:c r="F70" s="12" t="str">
        <x:v>Карта</x:v>
      </x:c>
      <x:c r="G70" s="12" t="str">
        <x:v>Сервисы</x:v>
      </x:c>
      <x:c r="H70" s="12" t="str">
        <x:f>TEXT(B70,"yyyy-mm")</x:f>
        <x:v>2026-08</x:v>
      </x:c>
    </x:row>
    <x:row r="71" ht="26" customHeight="1">
      <x:c r="A71" s="12" t="str">
        <x:v>B050</x:v>
      </x:c>
      <x:c r="B71" s="25" t="d">
        <x:v>2026-08-24T00:00:00.000Z</x:v>
      </x:c>
      <x:c r="C71" s="12" t="str">
        <x:v>Перевод на свой личный счёт</x:v>
      </x:c>
      <x:c r="D71" s="26" t="n">
        <x:v>-12000</x:v>
      </x:c>
      <x:c r="E71" s="12" t="str">
        <x:v>Собственный счёт</x:v>
      </x:c>
      <x:c r="F71" s="12" t="str">
        <x:v>Банк</x:v>
      </x:c>
      <x:c r="G71" s="12" t="str">
        <x:v>Перевод себе</x:v>
      </x:c>
      <x:c r="H71" s="12" t="str">
        <x:f>TEXT(B71,"yyyy-mm")</x:f>
        <x:v>2026-08</x:v>
      </x:c>
    </x:row>
    <x:row r="72" ht="26" customHeight="1">
      <x:c r="A72" s="12" t="str">
        <x:v>B051</x:v>
      </x:c>
      <x:c r="B72" s="25" t="d">
        <x:v>2026-08-25T00:00:00.000Z</x:v>
      </x:c>
      <x:c r="C72" s="12" t="str">
        <x:v>Пополнение от владельца</x:v>
      </x:c>
      <x:c r="D72" s="26" t="n">
        <x:v>20000</x:v>
      </x:c>
      <x:c r="E72" s="12" t="str">
        <x:v>Владелец</x:v>
      </x:c>
      <x:c r="F72" s="12" t="str">
        <x:v>Банк</x:v>
      </x:c>
      <x:c r="G72" s="12" t="str">
        <x:v>Взнос владельца</x:v>
      </x:c>
      <x:c r="H72" s="12" t="str">
        <x:f>TEXT(B72,"yyyy-mm")</x:f>
        <x:v>2026-08</x:v>
      </x:c>
    </x:row>
    <x:row r="73" ht="26" customHeight="1">
      <x:c r="A73" s="12" t="str">
        <x:v>B052</x:v>
      </x:c>
      <x:c r="B73" s="25" t="d">
        <x:v>2026-08-26T00:00:00.000Z</x:v>
      </x:c>
      <x:c r="C73" s="12" t="str">
        <x:v>Оплата по реквизитам без назначения</x:v>
      </x:c>
      <x:c r="D73" s="26" t="n">
        <x:v>-1700</x:v>
      </x:c>
      <x:c r="E73" s="12" t="str">
        <x:v>Контрагент не указан</x:v>
      </x:c>
      <x:c r="F73" s="12" t="str">
        <x:v>Банк</x:v>
      </x:c>
      <x:c r="G73" s="12" t="str">
        <x:v>Нужно уточнить</x:v>
      </x:c>
      <x:c r="H73" s="12" t="str">
        <x:f>TEXT(B73,"yyyy-mm")</x:f>
        <x:v>2026-08</x:v>
      </x:c>
    </x:row>
    <x:row r="74" ht="26" customHeight="1">
      <x:c r="A74" s="12" t="str">
        <x:v>B053</x:v>
      </x:c>
      <x:c r="B74" s="25" t="d">
        <x:v>2026-09-01T00:00:00.000Z</x:v>
      </x:c>
      <x:c r="C74" s="12" t="str">
        <x:v>Оплата консультации, заказ 900</x:v>
      </x:c>
      <x:c r="D74" s="26" t="n">
        <x:v>7000</x:v>
      </x:c>
      <x:c r="E74" s="12" t="str">
        <x:v>Клиент 01</x:v>
      </x:c>
      <x:c r="F74" s="12" t="str">
        <x:v>Сайт</x:v>
      </x:c>
      <x:c r="G74" s="12" t="str">
        <x:v>Оплата клиента</x:v>
      </x:c>
      <x:c r="H74" s="12" t="str">
        <x:f>TEXT(B74,"yyyy-mm")</x:f>
        <x:v>2026-09</x:v>
      </x:c>
    </x:row>
    <x:row r="75" ht="26" customHeight="1">
      <x:c r="A75" s="12" t="str">
        <x:v>B054</x:v>
      </x:c>
      <x:c r="B75" s="25" t="d">
        <x:v>2026-09-02T00:00:00.000Z</x:v>
      </x:c>
      <x:c r="C75" s="12" t="str">
        <x:v>Оплата консультации, заказ 901</x:v>
      </x:c>
      <x:c r="D75" s="26" t="n">
        <x:v>8500</x:v>
      </x:c>
      <x:c r="E75" s="12" t="str">
        <x:v>Клиент 02</x:v>
      </x:c>
      <x:c r="F75" s="12" t="str">
        <x:v>Рекомендации</x:v>
      </x:c>
      <x:c r="G75" s="12" t="str">
        <x:v>Оплата клиента</x:v>
      </x:c>
      <x:c r="H75" s="12" t="str">
        <x:f>TEXT(B75,"yyyy-mm")</x:f>
        <x:v>2026-09</x:v>
      </x:c>
    </x:row>
    <x:row r="76" ht="26" customHeight="1">
      <x:c r="A76" s="12" t="str">
        <x:v>B055</x:v>
      </x:c>
      <x:c r="B76" s="25" t="d">
        <x:v>2026-09-03T00:00:00.000Z</x:v>
      </x:c>
      <x:c r="C76" s="12" t="str">
        <x:v>Оплата консультации, заказ 902</x:v>
      </x:c>
      <x:c r="D76" s="26" t="n">
        <x:v>10000</x:v>
      </x:c>
      <x:c r="E76" s="12" t="str">
        <x:v>Клиент 03</x:v>
      </x:c>
      <x:c r="F76" s="12" t="str">
        <x:v>Соцсети</x:v>
      </x:c>
      <x:c r="G76" s="12" t="str">
        <x:v>Оплата клиента</x:v>
      </x:c>
      <x:c r="H76" s="12" t="str">
        <x:f>TEXT(B76,"yyyy-mm")</x:f>
        <x:v>2026-09</x:v>
      </x:c>
    </x:row>
    <x:row r="77" ht="26" customHeight="1">
      <x:c r="A77" s="12" t="str">
        <x:v>B056</x:v>
      </x:c>
      <x:c r="B77" s="25" t="d">
        <x:v>2026-09-04T00:00:00.000Z</x:v>
      </x:c>
      <x:c r="C77" s="12" t="str">
        <x:v>Оплата консультации, заказ 903</x:v>
      </x:c>
      <x:c r="D77" s="26" t="n">
        <x:v>11500</x:v>
      </x:c>
      <x:c r="E77" s="12" t="str">
        <x:v>Клиент 04</x:v>
      </x:c>
      <x:c r="F77" s="12" t="str">
        <x:v>Сайт</x:v>
      </x:c>
      <x:c r="G77" s="12" t="str">
        <x:v>Оплата клиента</x:v>
      </x:c>
      <x:c r="H77" s="12" t="str">
        <x:f>TEXT(B77,"yyyy-mm")</x:f>
        <x:v>2026-09</x:v>
      </x:c>
    </x:row>
    <x:row r="78" ht="26" customHeight="1">
      <x:c r="A78" s="12" t="str">
        <x:v>B057</x:v>
      </x:c>
      <x:c r="B78" s="25" t="d">
        <x:v>2026-09-05T00:00:00.000Z</x:v>
      </x:c>
      <x:c r="C78" s="12" t="str">
        <x:v>Оплата консультации, заказ 904</x:v>
      </x:c>
      <x:c r="D78" s="26" t="n">
        <x:v>7000</x:v>
      </x:c>
      <x:c r="E78" s="12" t="str">
        <x:v>Клиент 05</x:v>
      </x:c>
      <x:c r="F78" s="12" t="str">
        <x:v>Рекомендации</x:v>
      </x:c>
      <x:c r="G78" s="12" t="str">
        <x:v>Оплата клиента</x:v>
      </x:c>
      <x:c r="H78" s="12" t="str">
        <x:f>TEXT(B78,"yyyy-mm")</x:f>
        <x:v>2026-09</x:v>
      </x:c>
    </x:row>
    <x:row r="79" ht="26" customHeight="1">
      <x:c r="A79" s="12" t="str">
        <x:v>B058</x:v>
      </x:c>
      <x:c r="B79" s="25" t="d">
        <x:v>2026-09-06T00:00:00.000Z</x:v>
      </x:c>
      <x:c r="C79" s="12" t="str">
        <x:v>Оплата консультации, заказ 905</x:v>
      </x:c>
      <x:c r="D79" s="26" t="n">
        <x:v>8500</x:v>
      </x:c>
      <x:c r="E79" s="12" t="str">
        <x:v>Клиент 06</x:v>
      </x:c>
      <x:c r="F79" s="12" t="str">
        <x:v>Соцсети</x:v>
      </x:c>
      <x:c r="G79" s="12" t="str">
        <x:v>Оплата клиента</x:v>
      </x:c>
      <x:c r="H79" s="12" t="str">
        <x:f>TEXT(B79,"yyyy-mm")</x:f>
        <x:v>2026-09</x:v>
      </x:c>
    </x:row>
    <x:row r="80" ht="26" customHeight="1">
      <x:c r="A80" s="12" t="str">
        <x:v>B059</x:v>
      </x:c>
      <x:c r="B80" s="25" t="d">
        <x:v>2026-09-07T00:00:00.000Z</x:v>
      </x:c>
      <x:c r="C80" s="12" t="str">
        <x:v>Оплата консультации, заказ 906</x:v>
      </x:c>
      <x:c r="D80" s="26" t="n">
        <x:v>10000</x:v>
      </x:c>
      <x:c r="E80" s="12" t="str">
        <x:v>Клиент 07</x:v>
      </x:c>
      <x:c r="F80" s="12" t="str">
        <x:v>Сайт</x:v>
      </x:c>
      <x:c r="G80" s="12" t="str">
        <x:v>Оплата клиента</x:v>
      </x:c>
      <x:c r="H80" s="12" t="str">
        <x:f>TEXT(B80,"yyyy-mm")</x:f>
        <x:v>2026-09</x:v>
      </x:c>
    </x:row>
    <x:row r="81" ht="26" customHeight="1">
      <x:c r="A81" s="12" t="str">
        <x:v>B060</x:v>
      </x:c>
      <x:c r="B81" s="25" t="d">
        <x:v>2026-09-08T00:00:00.000Z</x:v>
      </x:c>
      <x:c r="C81" s="12" t="str">
        <x:v>Оплата консультации, заказ 907</x:v>
      </x:c>
      <x:c r="D81" s="26" t="n">
        <x:v>11500</x:v>
      </x:c>
      <x:c r="E81" s="12" t="str">
        <x:v>Клиент 08</x:v>
      </x:c>
      <x:c r="F81" s="12" t="str">
        <x:v>Рекомендации</x:v>
      </x:c>
      <x:c r="G81" s="12" t="str">
        <x:v>Оплата клиента</x:v>
      </x:c>
      <x:c r="H81" s="12" t="str">
        <x:f>TEXT(B81,"yyyy-mm")</x:f>
        <x:v>2026-09</x:v>
      </x:c>
    </x:row>
    <x:row r="82" ht="26" customHeight="1">
      <x:c r="A82" s="12" t="str">
        <x:v>B061</x:v>
      </x:c>
      <x:c r="B82" s="25" t="d">
        <x:v>2026-09-09T00:00:00.000Z</x:v>
      </x:c>
      <x:c r="C82" s="12" t="str">
        <x:v>Оплата консультации, заказ 908</x:v>
      </x:c>
      <x:c r="D82" s="26" t="n">
        <x:v>7000</x:v>
      </x:c>
      <x:c r="E82" s="12" t="str">
        <x:v>Клиент 09</x:v>
      </x:c>
      <x:c r="F82" s="12" t="str">
        <x:v>Соцсети</x:v>
      </x:c>
      <x:c r="G82" s="12" t="str">
        <x:v>Оплата клиента</x:v>
      </x:c>
      <x:c r="H82" s="12" t="str">
        <x:f>TEXT(B82,"yyyy-mm")</x:f>
        <x:v>2026-09</x:v>
      </x:c>
    </x:row>
    <x:row r="83" ht="26" customHeight="1">
      <x:c r="A83" s="12" t="str">
        <x:v>B062</x:v>
      </x:c>
      <x:c r="B83" s="25" t="d">
        <x:v>2026-09-10T00:00:00.000Z</x:v>
      </x:c>
      <x:c r="C83" s="12" t="str">
        <x:v>Оплата консультации, заказ 909</x:v>
      </x:c>
      <x:c r="D83" s="26" t="n">
        <x:v>8500</x:v>
      </x:c>
      <x:c r="E83" s="12" t="str">
        <x:v>Клиент 10</x:v>
      </x:c>
      <x:c r="F83" s="12" t="str">
        <x:v>Сайт</x:v>
      </x:c>
      <x:c r="G83" s="12" t="str">
        <x:v>Оплата клиента</x:v>
      </x:c>
      <x:c r="H83" s="12" t="str">
        <x:f>TEXT(B83,"yyyy-mm")</x:f>
        <x:v>2026-09</x:v>
      </x:c>
    </x:row>
    <x:row r="84" ht="26" customHeight="1">
      <x:c r="A84" s="12" t="str">
        <x:v>B063</x:v>
      </x:c>
      <x:c r="B84" s="25" t="d">
        <x:v>2026-09-11T00:00:00.000Z</x:v>
      </x:c>
      <x:c r="C84" s="12" t="str">
        <x:v>Оплата консультации, заказ 910</x:v>
      </x:c>
      <x:c r="D84" s="26" t="n">
        <x:v>10000</x:v>
      </x:c>
      <x:c r="E84" s="12" t="str">
        <x:v>Клиент 11</x:v>
      </x:c>
      <x:c r="F84" s="12" t="str">
        <x:v>Рекомендации</x:v>
      </x:c>
      <x:c r="G84" s="12" t="str">
        <x:v>Оплата клиента</x:v>
      </x:c>
      <x:c r="H84" s="12" t="str">
        <x:f>TEXT(B84,"yyyy-mm")</x:f>
        <x:v>2026-09</x:v>
      </x:c>
    </x:row>
    <x:row r="85" ht="26" customHeight="1">
      <x:c r="A85" s="12" t="str">
        <x:v>B064</x:v>
      </x:c>
      <x:c r="B85" s="25" t="d">
        <x:v>2026-09-12T00:00:00.000Z</x:v>
      </x:c>
      <x:c r="C85" s="12" t="str">
        <x:v>Оплата консультации, заказ 911</x:v>
      </x:c>
      <x:c r="D85" s="26" t="n">
        <x:v>11500</x:v>
      </x:c>
      <x:c r="E85" s="12" t="str">
        <x:v>Клиент 12</x:v>
      </x:c>
      <x:c r="F85" s="12" t="str">
        <x:v>Соцсети</x:v>
      </x:c>
      <x:c r="G85" s="12" t="str">
        <x:v>Оплата клиента</x:v>
      </x:c>
      <x:c r="H85" s="12" t="str">
        <x:f>TEXT(B85,"yyyy-mm")</x:f>
        <x:v>2026-09</x:v>
      </x:c>
    </x:row>
    <x:row r="86" ht="26" customHeight="1">
      <x:c r="A86" s="12" t="str">
        <x:v>B065</x:v>
      </x:c>
      <x:c r="B86" s="25" t="d">
        <x:v>2026-09-13T00:00:00.000Z</x:v>
      </x:c>
      <x:c r="C86" s="12" t="str">
        <x:v>Возврат клиенту по заказу 900</x:v>
      </x:c>
      <x:c r="D86" s="26" t="n">
        <x:v>-2200</x:v>
      </x:c>
      <x:c r="E86" s="12" t="str">
        <x:v>Клиент 01</x:v>
      </x:c>
      <x:c r="F86" s="12" t="str">
        <x:v>Сайт</x:v>
      </x:c>
      <x:c r="G86" s="12" t="str">
        <x:v>Возврат клиенту</x:v>
      </x:c>
      <x:c r="H86" s="12" t="str">
        <x:f>TEXT(B86,"yyyy-mm")</x:f>
        <x:v>2026-09</x:v>
      </x:c>
    </x:row>
    <x:row r="87" ht="26" customHeight="1">
      <x:c r="A87" s="12" t="str">
        <x:v>B066</x:v>
      </x:c>
      <x:c r="B87" s="25" t="d">
        <x:v>2026-09-14T00:00:00.000Z</x:v>
      </x:c>
      <x:c r="C87" s="12" t="str">
        <x:v>Возврат клиенту по заказу 901</x:v>
      </x:c>
      <x:c r="D87" s="26" t="n">
        <x:v>-2600</x:v>
      </x:c>
      <x:c r="E87" s="12" t="str">
        <x:v>Клиент 02</x:v>
      </x:c>
      <x:c r="F87" s="12" t="str">
        <x:v>Сайт</x:v>
      </x:c>
      <x:c r="G87" s="12" t="str">
        <x:v>Возврат клиенту</x:v>
      </x:c>
      <x:c r="H87" s="12" t="str">
        <x:f>TEXT(B87,"yyyy-mm")</x:f>
        <x:v>2026-09</x:v>
      </x:c>
    </x:row>
    <x:row r="88" ht="26" customHeight="1">
      <x:c r="A88" s="12" t="str">
        <x:v>B067</x:v>
      </x:c>
      <x:c r="B88" s="25" t="d">
        <x:v>2026-09-15T00:00:00.000Z</x:v>
      </x:c>
      <x:c r="C88" s="12" t="str">
        <x:v>Оплата подрядчику за подготовку материалов 1</x:v>
      </x:c>
      <x:c r="D88" s="26" t="n">
        <x:v>-2500</x:v>
      </x:c>
      <x:c r="E88" s="12" t="str">
        <x:v>Подрядчик 1</x:v>
      </x:c>
      <x:c r="F88" s="12" t="str">
        <x:v>Банк</x:v>
      </x:c>
      <x:c r="G88" s="12" t="str">
        <x:v>Подрядчики</x:v>
      </x:c>
      <x:c r="H88" s="12" t="str">
        <x:f>TEXT(B88,"yyyy-mm")</x:f>
        <x:v>2026-09</x:v>
      </x:c>
    </x:row>
    <x:row r="89" ht="26" customHeight="1">
      <x:c r="A89" s="12" t="str">
        <x:v>B068</x:v>
      </x:c>
      <x:c r="B89" s="25" t="d">
        <x:v>2026-09-16T00:00:00.000Z</x:v>
      </x:c>
      <x:c r="C89" s="12" t="str">
        <x:v>Оплата подрядчику за подготовку материалов 2</x:v>
      </x:c>
      <x:c r="D89" s="26" t="n">
        <x:v>-2850</x:v>
      </x:c>
      <x:c r="E89" s="12" t="str">
        <x:v>Подрядчик 2</x:v>
      </x:c>
      <x:c r="F89" s="12" t="str">
        <x:v>Банк</x:v>
      </x:c>
      <x:c r="G89" s="12" t="str">
        <x:v>Подрядчики</x:v>
      </x:c>
      <x:c r="H89" s="12" t="str">
        <x:f>TEXT(B89,"yyyy-mm")</x:f>
        <x:v>2026-09</x:v>
      </x:c>
    </x:row>
    <x:row r="90" ht="26" customHeight="1">
      <x:c r="A90" s="12" t="str">
        <x:v>B069</x:v>
      </x:c>
      <x:c r="B90" s="25" t="d">
        <x:v>2026-09-17T00:00:00.000Z</x:v>
      </x:c>
      <x:c r="C90" s="12" t="str">
        <x:v>Оплата подрядчику за подготовку материалов 3</x:v>
      </x:c>
      <x:c r="D90" s="26" t="n">
        <x:v>-3200</x:v>
      </x:c>
      <x:c r="E90" s="12" t="str">
        <x:v>Подрядчик 3</x:v>
      </x:c>
      <x:c r="F90" s="12" t="str">
        <x:v>Банк</x:v>
      </x:c>
      <x:c r="G90" s="12" t="str">
        <x:v>Подрядчики</x:v>
      </x:c>
      <x:c r="H90" s="12" t="str">
        <x:f>TEXT(B90,"yyyy-mm")</x:f>
        <x:v>2026-09</x:v>
      </x:c>
    </x:row>
    <x:row r="91" ht="26" customHeight="1">
      <x:c r="A91" s="12" t="str">
        <x:v>B070</x:v>
      </x:c>
      <x:c r="B91" s="25" t="d">
        <x:v>2026-09-18T00:00:00.000Z</x:v>
      </x:c>
      <x:c r="C91" s="12" t="str">
        <x:v>Оплата подрядчику за подготовку материалов 4</x:v>
      </x:c>
      <x:c r="D91" s="26" t="n">
        <x:v>-3550</x:v>
      </x:c>
      <x:c r="E91" s="12" t="str">
        <x:v>Подрядчик 4</x:v>
      </x:c>
      <x:c r="F91" s="12" t="str">
        <x:v>Банк</x:v>
      </x:c>
      <x:c r="G91" s="12" t="str">
        <x:v>Подрядчики</x:v>
      </x:c>
      <x:c r="H91" s="12" t="str">
        <x:f>TEXT(B91,"yyyy-mm")</x:f>
        <x:v>2026-09</x:v>
      </x:c>
    </x:row>
    <x:row r="92" ht="26" customHeight="1">
      <x:c r="A92" s="12" t="str">
        <x:v>B071</x:v>
      </x:c>
      <x:c r="B92" s="25" t="d">
        <x:v>2026-09-19T00:00:00.000Z</x:v>
      </x:c>
      <x:c r="C92" s="12" t="str">
        <x:v>Рекламная кампания 1</x:v>
      </x:c>
      <x:c r="D92" s="26" t="n">
        <x:v>-4500</x:v>
      </x:c>
      <x:c r="E92" s="12" t="str">
        <x:v>Рекламная площадка</x:v>
      </x:c>
      <x:c r="F92" s="12" t="str">
        <x:v>Банк</x:v>
      </x:c>
      <x:c r="G92" s="12" t="str">
        <x:v>Реклама</x:v>
      </x:c>
      <x:c r="H92" s="12" t="str">
        <x:f>TEXT(B92,"yyyy-mm")</x:f>
        <x:v>2026-09</x:v>
      </x:c>
    </x:row>
    <x:row r="93" ht="26" customHeight="1">
      <x:c r="A93" s="12" t="str">
        <x:v>B072</x:v>
      </x:c>
      <x:c r="B93" s="25" t="d">
        <x:v>2026-09-20T00:00:00.000Z</x:v>
      </x:c>
      <x:c r="C93" s="12" t="str">
        <x:v>Рекламная кампания 2</x:v>
      </x:c>
      <x:c r="D93" s="26" t="n">
        <x:v>-4750</x:v>
      </x:c>
      <x:c r="E93" s="12" t="str">
        <x:v>Рекламная площадка</x:v>
      </x:c>
      <x:c r="F93" s="12" t="str">
        <x:v>Банк</x:v>
      </x:c>
      <x:c r="G93" s="12" t="str">
        <x:v>Реклама</x:v>
      </x:c>
      <x:c r="H93" s="12" t="str">
        <x:f>TEXT(B93,"yyyy-mm")</x:f>
        <x:v>2026-09</x:v>
      </x:c>
    </x:row>
    <x:row r="94" ht="26" customHeight="1">
      <x:c r="A94" s="12" t="str">
        <x:v>B073</x:v>
      </x:c>
      <x:c r="B94" s="25" t="d">
        <x:v>2026-09-21T00:00:00.000Z</x:v>
      </x:c>
      <x:c r="C94" s="12" t="str">
        <x:v>Рекламная кампания 3</x:v>
      </x:c>
      <x:c r="D94" s="26" t="n">
        <x:v>-5000</x:v>
      </x:c>
      <x:c r="E94" s="12" t="str">
        <x:v>Рекламная площадка</x:v>
      </x:c>
      <x:c r="F94" s="12" t="str">
        <x:v>Банк</x:v>
      </x:c>
      <x:c r="G94" s="12" t="str">
        <x:v>Реклама</x:v>
      </x:c>
      <x:c r="H94" s="12" t="str">
        <x:f>TEXT(B94,"yyyy-mm")</x:f>
        <x:v>2026-09</x:v>
      </x:c>
    </x:row>
    <x:row r="95" ht="26" customHeight="1">
      <x:c r="A95" s="12" t="str">
        <x:v>B074</x:v>
      </x:c>
      <x:c r="B95" s="25" t="d">
        <x:v>2026-09-22T00:00:00.000Z</x:v>
      </x:c>
      <x:c r="C95" s="12" t="str">
        <x:v>Подписка на рабочий сервис 1</x:v>
      </x:c>
      <x:c r="D95" s="26" t="n">
        <x:v>-900</x:v>
      </x:c>
      <x:c r="E95" s="12" t="str">
        <x:v>Рабочий сервис</x:v>
      </x:c>
      <x:c r="F95" s="12" t="str">
        <x:v>Карта</x:v>
      </x:c>
      <x:c r="G95" s="12" t="str">
        <x:v>Сервисы</x:v>
      </x:c>
      <x:c r="H95" s="12" t="str">
        <x:f>TEXT(B95,"yyyy-mm")</x:f>
        <x:v>2026-09</x:v>
      </x:c>
    </x:row>
    <x:row r="96" ht="26" customHeight="1">
      <x:c r="A96" s="12" t="str">
        <x:v>B075</x:v>
      </x:c>
      <x:c r="B96" s="25" t="d">
        <x:v>2026-09-23T00:00:00.000Z</x:v>
      </x:c>
      <x:c r="C96" s="12" t="str">
        <x:v>Подписка на рабочий сервис 2</x:v>
      </x:c>
      <x:c r="D96" s="26" t="n">
        <x:v>-1300</x:v>
      </x:c>
      <x:c r="E96" s="12" t="str">
        <x:v>Рабочий сервис</x:v>
      </x:c>
      <x:c r="F96" s="12" t="str">
        <x:v>Карта</x:v>
      </x:c>
      <x:c r="G96" s="12" t="str">
        <x:v>Сервисы</x:v>
      </x:c>
      <x:c r="H96" s="12" t="str">
        <x:f>TEXT(B96,"yyyy-mm")</x:f>
        <x:v>2026-09</x:v>
      </x:c>
    </x:row>
    <x:row r="97" ht="26" customHeight="1">
      <x:c r="A97" s="12" t="str">
        <x:v>B076</x:v>
      </x:c>
      <x:c r="B97" s="25" t="d">
        <x:v>2026-09-24T00:00:00.000Z</x:v>
      </x:c>
      <x:c r="C97" s="12" t="str">
        <x:v>Перевод на свой личный счёт</x:v>
      </x:c>
      <x:c r="D97" s="26" t="n">
        <x:v>-12000</x:v>
      </x:c>
      <x:c r="E97" s="12" t="str">
        <x:v>Собственный счёт</x:v>
      </x:c>
      <x:c r="F97" s="12" t="str">
        <x:v>Банк</x:v>
      </x:c>
      <x:c r="G97" s="12" t="str">
        <x:v>Перевод себе</x:v>
      </x:c>
      <x:c r="H97" s="12" t="str">
        <x:f>TEXT(B97,"yyyy-mm")</x:f>
        <x:v>2026-09</x:v>
      </x:c>
    </x:row>
    <x:row r="98" ht="26" customHeight="1">
      <x:c r="A98" s="12" t="str">
        <x:v>B077</x:v>
      </x:c>
      <x:c r="B98" s="25" t="d">
        <x:v>2026-09-25T00:00:00.000Z</x:v>
      </x:c>
      <x:c r="C98" s="12" t="str">
        <x:v>Пополнение от владельца</x:v>
      </x:c>
      <x:c r="D98" s="26" t="n">
        <x:v>20000</x:v>
      </x:c>
      <x:c r="E98" s="12" t="str">
        <x:v>Владелец</x:v>
      </x:c>
      <x:c r="F98" s="12" t="str">
        <x:v>Банк</x:v>
      </x:c>
      <x:c r="G98" s="12" t="str">
        <x:v>Взнос владельца</x:v>
      </x:c>
      <x:c r="H98" s="12" t="str">
        <x:f>TEXT(B98,"yyyy-mm")</x:f>
        <x:v>2026-09</x:v>
      </x:c>
    </x:row>
    <x:row r="99" ht="26" customHeight="1">
      <x:c r="A99" s="12" t="str">
        <x:v>B078</x:v>
      </x:c>
      <x:c r="B99" s="25" t="d">
        <x:v>2026-09-26T00:00:00.000Z</x:v>
      </x:c>
      <x:c r="C99" s="12" t="str">
        <x:v>Оплата по реквизитам без назначения</x:v>
      </x:c>
      <x:c r="D99" s="26" t="n">
        <x:v>-1700</x:v>
      </x:c>
      <x:c r="E99" s="12" t="str">
        <x:v>Контрагент не указан</x:v>
      </x:c>
      <x:c r="F99" s="12" t="str">
        <x:v>Банк</x:v>
      </x:c>
      <x:c r="G99" s="12" t="str">
        <x:v>Нужно уточнить</x:v>
      </x:c>
      <x:c r="H99" s="12" t="str">
        <x:f>TEXT(B99,"yyyy-mm")</x:f>
        <x:v>2026-09</x:v>
      </x:c>
    </x:row>
  </x:sheetData>
  <x:mergeCells>
    <x:mergeCell ref="A1:H1"/>
    <x:mergeCell ref="A2:H2"/>
    <x:mergeCell ref="A20:H20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FF6B00"/>
  </x:sheetPr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22" hidden="0" customWidth="1"/>
    <x:col min="4" max="4" width="85" hidden="0" customWidth="1"/>
    <x:col min="5" max="5" width="24" hidden="0" customWidth="1"/>
  </x:cols>
  <x:sheetData>
    <x:row r="1" ht="34" customHeight="1">
      <x:c r="A1" s="6" t="str">
        <x:v>ID</x:v>
      </x:c>
      <x:c r="B1" s="6" t="str">
        <x:v>Основная тема</x:v>
      </x:c>
      <x:c r="C1" s="6" t="str">
        <x:v>Тональность</x:v>
      </x:c>
      <x:c r="D1" s="6" t="str">
        <x:v>Цитата-основание</x:v>
      </x:c>
      <x:c r="E1" s="6" t="str">
        <x:v>Нужна проверка</x:v>
      </x:c>
    </x:row>
    <x:row r="2" ht="26" customHeight="1">
      <x:c r="A2" s="2"/>
      <x:c r="B2" s="2"/>
      <x:c r="C2" s="2"/>
      <x:c r="D2" s="2"/>
      <x:c r="E2" s="2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19212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8" hidden="0" customWidth="1"/>
    <x:col min="3" max="3" width="22" hidden="0" customWidth="1"/>
    <x:col min="4" max="4" width="85" hidden="0" customWidth="1"/>
    <x:col min="5" max="5" width="24" hidden="0" customWidth="1"/>
  </x:cols>
  <x:sheetData>
    <x:row r="1" ht="34" customHeight="1">
      <x:c r="A1" s="6" t="str">
        <x:v>ID</x:v>
      </x:c>
      <x:c r="B1" s="6" t="str">
        <x:v>Основная тема</x:v>
      </x:c>
      <x:c r="C1" s="6" t="str">
        <x:v>Тональность</x:v>
      </x:c>
      <x:c r="D1" s="6" t="str">
        <x:v>Цитата-основание</x:v>
      </x:c>
      <x:c r="E1" s="6" t="str">
        <x:v>Нужна проверка</x:v>
      </x:c>
    </x:row>
    <x:row r="2" ht="26" customHeight="1">
      <x:c r="A2" s="2" t="str">
        <x:v>R001</x:v>
      </x:c>
      <x:c r="B2" s="2" t="str">
        <x:v>понятность</x:v>
      </x:c>
      <x:c r="C2" s="2" t="str">
        <x:v>положительная</x:v>
      </x:c>
      <x:c r="D2" s="2" t="str">
        <x:v>Объяснение стало понятным после примера</x:v>
      </x:c>
      <x:c r="E2" s="2" t="str">
        <x:v>нет</x:v>
      </x:c>
    </x:row>
    <x:row r="3" ht="26" customHeight="1">
      <x:c r="A3" s="2" t="str">
        <x:v>R002</x:v>
      </x:c>
      <x:c r="B3" s="2" t="str">
        <x:v>темп</x:v>
      </x:c>
      <x:c r="C3" s="2" t="str">
        <x:v>положительная</x:v>
      </x:c>
      <x:c r="D3" s="2" t="str">
        <x:v>Успевал повторять действия на экране</x:v>
      </x:c>
      <x:c r="E3" s="2" t="str">
        <x:v>нет</x:v>
      </x:c>
    </x:row>
    <x:row r="4" ht="26" customHeight="1">
      <x:c r="A4" s="2" t="str">
        <x:v>R003</x:v>
      </x:c>
      <x:c r="B4" s="2" t="str">
        <x:v>практика</x:v>
      </x:c>
      <x:c r="C4" s="2" t="str">
        <x:v>положительная</x:v>
      </x:c>
      <x:c r="D4" s="2" t="str">
        <x:v>Сам сделал письмо клиенту по образцу</x:v>
      </x:c>
      <x:c r="E4" s="2" t="str">
        <x:v>нет</x:v>
      </x:c>
    </x:row>
    <x:row r="5" ht="26" customHeight="1">
      <x:c r="A5" s="2" t="str">
        <x:v>R004</x:v>
      </x:c>
      <x:c r="B5" s="2" t="str">
        <x:v>доступ к сервисам</x:v>
      </x:c>
      <x:c r="C5" s="2" t="str">
        <x:v>положительная</x:v>
      </x:c>
      <x:c r="D5" s="2" t="str">
        <x:v>Получилось войти в сервис и выполнить задание</x:v>
      </x:c>
      <x:c r="E5" s="2" t="str">
        <x:v>нет</x:v>
      </x:c>
    </x:row>
    <x:row r="6" ht="26" customHeight="1">
      <x:c r="A6" s="2" t="str">
        <x:v>R005</x:v>
      </x:c>
      <x:c r="B6" s="2" t="str">
        <x:v>стоимость сервисов</x:v>
      </x:c>
      <x:c r="C6" s="2" t="str">
        <x:v>положительная</x:v>
      </x:c>
      <x:c r="D6" s="2" t="str">
        <x:v>Нашёл подходящий бесплатный инструмент</x:v>
      </x:c>
      <x:c r="E6" s="2" t="str">
        <x:v>нет</x:v>
      </x:c>
    </x:row>
    <x:row r="7" ht="26" customHeight="1">
      <x:c r="A7" s="2" t="str">
        <x:v>R006</x:v>
      </x:c>
      <x:c r="B7" s="2" t="str">
        <x:v>материалы</x:v>
      </x:c>
      <x:c r="C7" s="2" t="str">
        <x:v>положительная</x:v>
      </x:c>
      <x:c r="D7" s="2" t="str">
        <x:v>Сохранил памятку и повторил по ней шаги</x:v>
      </x:c>
      <x:c r="E7" s="2" t="str">
        <x:v>нет</x:v>
      </x:c>
    </x:row>
    <x:row r="8" ht="26" customHeight="1">
      <x:c r="A8" s="2" t="str">
        <x:v>R007</x:v>
      </x:c>
      <x:c r="B8" s="2" t="str">
        <x:v>организация</x:v>
      </x:c>
      <x:c r="C8" s="2" t="str">
        <x:v>положительная</x:v>
      </x:c>
      <x:c r="D8" s="2" t="str">
        <x:v>Ссылка пришла вовремя, звук был хороший</x:v>
      </x:c>
      <x:c r="E8" s="2" t="str">
        <x:v>нет</x:v>
      </x:c>
    </x:row>
    <x:row r="9" ht="26" customHeight="1">
      <x:c r="A9" s="2" t="str">
        <x:v>R008</x:v>
      </x:c>
      <x:c r="B9" s="2" t="str">
        <x:v>другое</x:v>
      </x:c>
      <x:c r="C9" s="2" t="str">
        <x:v>положительная</x:v>
      </x:c>
      <x:c r="D9" s="2" t="str">
        <x:v>Спасибо за занятие</x:v>
      </x:c>
      <x:c r="E9" s="2" t="str">
        <x:v>нет</x:v>
      </x:c>
    </x:row>
    <x:row r="10" ht="26" customHeight="1">
      <x:c r="A10" s="2" t="str">
        <x:v>R009</x:v>
      </x:c>
      <x:c r="B10" s="2" t="str">
        <x:v>понятность</x:v>
      </x:c>
      <x:c r="C10" s="2" t="str">
        <x:v>отрицательная</x:v>
      </x:c>
      <x:c r="D10" s="2" t="str">
        <x:v>Не понял разницу между задачей и запросом</x:v>
      </x:c>
      <x:c r="E10" s="2" t="str">
        <x:v>нет</x:v>
      </x:c>
    </x:row>
    <x:row r="11" ht="26" customHeight="1">
      <x:c r="A11" s="2" t="str">
        <x:v>R010</x:v>
      </x:c>
      <x:c r="B11" s="2" t="str">
        <x:v>темп</x:v>
      </x:c>
      <x:c r="C11" s="2" t="str">
        <x:v>отрицательная</x:v>
      </x:c>
      <x:c r="D11" s="2" t="str">
        <x:v>Слишком быстро переключались между окнами</x:v>
      </x:c>
      <x:c r="E11" s="2" t="str">
        <x:v>нет</x:v>
      </x:c>
    </x:row>
    <x:row r="12" ht="26" customHeight="1">
      <x:c r="A12" s="2" t="str">
        <x:v>R011</x:v>
      </x:c>
      <x:c r="B12" s="2" t="str">
        <x:v>практика</x:v>
      </x:c>
      <x:c r="C12" s="2" t="str">
        <x:v>отрицательная</x:v>
      </x:c>
      <x:c r="D12" s="2" t="str">
        <x:v>Не хватило самостоятельной практики</x:v>
      </x:c>
      <x:c r="E12" s="2" t="str">
        <x:v>нет</x:v>
      </x:c>
    </x:row>
    <x:row r="13" ht="26" customHeight="1">
      <x:c r="A13" s="2" t="str">
        <x:v>R012</x:v>
      </x:c>
      <x:c r="B13" s="2" t="str">
        <x:v>доступ к сервисам</x:v>
      </x:c>
      <x:c r="C13" s="2" t="str">
        <x:v>отрицательная</x:v>
      </x:c>
      <x:c r="D13" s="2" t="str">
        <x:v>Не удалось зарегистрироваться в сервисе</x:v>
      </x:c>
      <x:c r="E13" s="2" t="str">
        <x:v>нет</x:v>
      </x:c>
    </x:row>
    <x:row r="14" ht="26" customHeight="1">
      <x:c r="A14" s="2" t="str">
        <x:v>R013</x:v>
      </x:c>
      <x:c r="B14" s="2" t="str">
        <x:v>стоимость сервисов</x:v>
      </x:c>
      <x:c r="C14" s="2" t="str">
        <x:v>отрицательная</x:v>
      </x:c>
      <x:c r="D14" s="2" t="str">
        <x:v>Непонятно, какие функции требуют оплаты</x:v>
      </x:c>
      <x:c r="E14" s="2" t="str">
        <x:v>нет</x:v>
      </x:c>
    </x:row>
    <x:row r="15" ht="26" customHeight="1">
      <x:c r="A15" s="2" t="str">
        <x:v>R014</x:v>
      </x:c>
      <x:c r="B15" s="2" t="str">
        <x:v>материалы</x:v>
      </x:c>
      <x:c r="C15" s="2" t="str">
        <x:v>отрицательная</x:v>
      </x:c>
      <x:c r="D15" s="2" t="str">
        <x:v>Не нашёл файл с примером после занятия</x:v>
      </x:c>
      <x:c r="E15" s="2" t="str">
        <x:v>нет</x:v>
      </x:c>
    </x:row>
    <x:row r="16" ht="26" customHeight="1">
      <x:c r="A16" s="2" t="str">
        <x:v>R015</x:v>
      </x:c>
      <x:c r="B16" s="2" t="str">
        <x:v>организация</x:v>
      </x:c>
      <x:c r="C16" s="2" t="str">
        <x:v>отрицательная</x:v>
      </x:c>
      <x:c r="D16" s="2" t="str">
        <x:v>Не было слышно часть объяснения</x:v>
      </x:c>
      <x:c r="E16" s="2" t="str">
        <x:v>нет</x:v>
      </x:c>
    </x:row>
    <x:row r="17" ht="26" customHeight="1">
      <x:c r="A17" s="2" t="str">
        <x:v>R016</x:v>
      </x:c>
      <x:c r="B17" s="2" t="str">
        <x:v>другое</x:v>
      </x:c>
      <x:c r="C17" s="2" t="str">
        <x:v>нейтральная</x:v>
      </x:c>
      <x:c r="D17" s="2" t="str">
        <x:v>Нормально</x:v>
      </x:c>
      <x:c r="E17" s="2" t="str">
        <x:v>да</x:v>
      </x:c>
    </x:row>
    <x:row r="18" ht="26" customHeight="1">
      <x:c r="A18" s="2" t="str">
        <x:v>R017</x:v>
      </x:c>
      <x:c r="B18" s="2" t="str">
        <x:v>понятность</x:v>
      </x:c>
      <x:c r="C18" s="2" t="str">
        <x:v>смешанная</x:v>
      </x:c>
      <x:c r="D18" s="2" t="str">
        <x:v>Термины объяснили понятно, но часть шагов осталась неясной</x:v>
      </x:c>
      <x:c r="E18" s="2" t="str">
        <x:v>да</x:v>
      </x:c>
    </x:row>
    <x:row r="19" ht="26" customHeight="1">
      <x:c r="A19" s="2" t="str">
        <x:v>R018</x:v>
      </x:c>
      <x:c r="B19" s="2" t="str">
        <x:v>темп</x:v>
      </x:c>
      <x:c r="C19" s="2" t="str">
        <x:v>смешанная</x:v>
      </x:c>
      <x:c r="D19" s="2" t="str">
        <x:v>Начало шло спокойно, а конец был слишком быстрым</x:v>
      </x:c>
      <x:c r="E19" s="2" t="str">
        <x:v>да</x:v>
      </x:c>
    </x:row>
    <x:row r="20" ht="26" customHeight="1">
      <x:c r="A20" s="2" t="str">
        <x:v>R019</x:v>
      </x:c>
      <x:c r="B20" s="2" t="str">
        <x:v>практика</x:v>
      </x:c>
      <x:c r="C20" s="2" t="str">
        <x:v>смешанная</x:v>
      </x:c>
      <x:c r="D20" s="2" t="str">
        <x:v>Примеры полезные, но хочу задание для своей работы</x:v>
      </x:c>
      <x:c r="E20" s="2" t="str">
        <x:v>да</x:v>
      </x:c>
    </x:row>
    <x:row r="21" ht="26" customHeight="1">
      <x:c r="A21" s="2" t="str">
        <x:v>R020</x:v>
      </x:c>
      <x:c r="B21" s="2" t="str">
        <x:v>доступ к сервисам</x:v>
      </x:c>
      <x:c r="C21" s="2" t="str">
        <x:v>смешанная</x:v>
      </x:c>
      <x:c r="D21" s="2" t="str">
        <x:v>Сначала не смог войти, потом помог резервный способ</x:v>
      </x:c>
      <x:c r="E21" s="2" t="str">
        <x:v>да</x:v>
      </x:c>
    </x:row>
    <x:row r="22" ht="26" customHeight="1">
      <x:c r="A22" s="2" t="str">
        <x:v>R021</x:v>
      </x:c>
      <x:c r="B22" s="2" t="str">
        <x:v>стоимость сервисов</x:v>
      </x:c>
      <x:c r="C22" s="2" t="str">
        <x:v>смешанная</x:v>
      </x:c>
      <x:c r="D22" s="2" t="str">
        <x:v>Бесплатного режима хватило для примера, но дальше есть ограничения</x:v>
      </x:c>
      <x:c r="E22" s="2" t="str">
        <x:v>да</x:v>
      </x:c>
    </x:row>
    <x:row r="23" ht="26" customHeight="1">
      <x:c r="A23" s="2" t="str">
        <x:v>R022</x:v>
      </x:c>
      <x:c r="B23" s="2" t="str">
        <x:v>материалы</x:v>
      </x:c>
      <x:c r="C23" s="2" t="str">
        <x:v>смешанная</x:v>
      </x:c>
      <x:c r="D23" s="2" t="str">
        <x:v>Запись полезная, хотелось бы добавить таймкоды</x:v>
      </x:c>
      <x:c r="E23" s="2" t="str">
        <x:v>да</x:v>
      </x:c>
    </x:row>
    <x:row r="24" ht="26" customHeight="1">
      <x:c r="A24" s="2" t="str">
        <x:v>R023</x:v>
      </x:c>
      <x:c r="B24" s="2" t="str">
        <x:v>организация</x:v>
      </x:c>
      <x:c r="C24" s="2" t="str">
        <x:v>смешанная</x:v>
      </x:c>
      <x:c r="D24" s="2" t="str">
        <x:v>Подключился легко, но вопросы в чате остались без ответа</x:v>
      </x:c>
      <x:c r="E24" s="2" t="str">
        <x:v>да</x:v>
      </x:c>
    </x:row>
    <x:row r="25" ht="26" customHeight="1">
      <x:c r="A25" s="2" t="str">
        <x:v>R024</x:v>
      </x:c>
      <x:c r="B25" s="2" t="str">
        <x:v>другое</x:v>
      </x:c>
      <x:c r="C25" s="2" t="str">
        <x:v>нейтральная</x:v>
      </x:c>
      <x:c r="D25" s="2" t="str">
        <x:v>Пока не решил, где буду это применять</x:v>
      </x:c>
      <x:c r="E25" s="2" t="str">
        <x:v>да</x:v>
      </x:c>
    </x:row>
    <x:row r="26" ht="26" customHeight="1">
      <x:c r="A26" s="2" t="str">
        <x:v>R025</x:v>
      </x:c>
      <x:c r="B26" s="2" t="str">
        <x:v>понятность</x:v>
      </x:c>
      <x:c r="C26" s="2" t="str">
        <x:v>положительная</x:v>
      </x:c>
      <x:c r="D26" s="2" t="str">
        <x:v>Объяснение стало понятным после примера</x:v>
      </x:c>
      <x:c r="E26" s="2" t="str">
        <x:v>нет</x:v>
      </x:c>
    </x:row>
    <x:row r="27" ht="26" customHeight="1">
      <x:c r="A27" s="2" t="str">
        <x:v>R026</x:v>
      </x:c>
      <x:c r="B27" s="2" t="str">
        <x:v>темп</x:v>
      </x:c>
      <x:c r="C27" s="2" t="str">
        <x:v>положительная</x:v>
      </x:c>
      <x:c r="D27" s="2" t="str">
        <x:v>Успевал повторять действия на экране</x:v>
      </x:c>
      <x:c r="E27" s="2" t="str">
        <x:v>нет</x:v>
      </x:c>
    </x:row>
    <x:row r="28" ht="26" customHeight="1">
      <x:c r="A28" s="2" t="str">
        <x:v>R027</x:v>
      </x:c>
      <x:c r="B28" s="2" t="str">
        <x:v>практика</x:v>
      </x:c>
      <x:c r="C28" s="2" t="str">
        <x:v>положительная</x:v>
      </x:c>
      <x:c r="D28" s="2" t="str">
        <x:v>Сам сделал письмо клиенту по образцу</x:v>
      </x:c>
      <x:c r="E28" s="2" t="str">
        <x:v>нет</x:v>
      </x:c>
    </x:row>
    <x:row r="29" ht="26" customHeight="1">
      <x:c r="A29" s="2" t="str">
        <x:v>R028</x:v>
      </x:c>
      <x:c r="B29" s="2" t="str">
        <x:v>доступ к сервисам</x:v>
      </x:c>
      <x:c r="C29" s="2" t="str">
        <x:v>положительная</x:v>
      </x:c>
      <x:c r="D29" s="2" t="str">
        <x:v>Получилось войти в сервис и выполнить задание</x:v>
      </x:c>
      <x:c r="E29" s="2" t="str">
        <x:v>нет</x:v>
      </x:c>
    </x:row>
    <x:row r="30" ht="26" customHeight="1">
      <x:c r="A30" s="2" t="str">
        <x:v>R029</x:v>
      </x:c>
      <x:c r="B30" s="2" t="str">
        <x:v>стоимость сервисов</x:v>
      </x:c>
      <x:c r="C30" s="2" t="str">
        <x:v>положительная</x:v>
      </x:c>
      <x:c r="D30" s="2" t="str">
        <x:v>Нашёл подходящий бесплатный инструмент</x:v>
      </x:c>
      <x:c r="E30" s="2" t="str">
        <x:v>нет</x:v>
      </x:c>
    </x:row>
    <x:row r="31" ht="26" customHeight="1">
      <x:c r="A31" s="2" t="str">
        <x:v>R030</x:v>
      </x:c>
      <x:c r="B31" s="2" t="str">
        <x:v>материалы</x:v>
      </x:c>
      <x:c r="C31" s="2" t="str">
        <x:v>положительная</x:v>
      </x:c>
      <x:c r="D31" s="2" t="str">
        <x:v>Сохранил памятку и повторил по ней шаги</x:v>
      </x:c>
      <x:c r="E31" s="2" t="str">
        <x:v>нет</x:v>
      </x:c>
    </x:row>
    <x:row r="32" ht="26" customHeight="1">
      <x:c r="A32" s="2" t="str">
        <x:v>R031</x:v>
      </x:c>
      <x:c r="B32" s="2" t="str">
        <x:v>организация</x:v>
      </x:c>
      <x:c r="C32" s="2" t="str">
        <x:v>положительная</x:v>
      </x:c>
      <x:c r="D32" s="2" t="str">
        <x:v>Ссылка пришла вовремя, звук был хороший</x:v>
      </x:c>
      <x:c r="E32" s="2" t="str">
        <x:v>нет</x:v>
      </x:c>
    </x:row>
    <x:row r="33" ht="26" customHeight="1">
      <x:c r="A33" s="2" t="str">
        <x:v>R032</x:v>
      </x:c>
      <x:c r="B33" s="2" t="str">
        <x:v>другое</x:v>
      </x:c>
      <x:c r="C33" s="2" t="str">
        <x:v>положительная</x:v>
      </x:c>
      <x:c r="D33" s="2" t="str">
        <x:v>Спасибо за занятие</x:v>
      </x:c>
      <x:c r="E33" s="2" t="str">
        <x:v>нет</x:v>
      </x:c>
    </x:row>
    <x:row r="34" ht="26" customHeight="1">
      <x:c r="A34" s="2" t="str">
        <x:v>R033</x:v>
      </x:c>
      <x:c r="B34" s="2" t="str">
        <x:v>понятность</x:v>
      </x:c>
      <x:c r="C34" s="2" t="str">
        <x:v>отрицательная</x:v>
      </x:c>
      <x:c r="D34" s="2" t="str">
        <x:v>Не понял разницу между задачей и запросом</x:v>
      </x:c>
      <x:c r="E34" s="2" t="str">
        <x:v>нет</x:v>
      </x:c>
    </x:row>
    <x:row r="35" ht="26" customHeight="1">
      <x:c r="A35" s="2" t="str">
        <x:v>R034</x:v>
      </x:c>
      <x:c r="B35" s="2" t="str">
        <x:v>темп</x:v>
      </x:c>
      <x:c r="C35" s="2" t="str">
        <x:v>отрицательная</x:v>
      </x:c>
      <x:c r="D35" s="2" t="str">
        <x:v>Слишком быстро переключались между окнами</x:v>
      </x:c>
      <x:c r="E35" s="2" t="str">
        <x:v>нет</x:v>
      </x:c>
    </x:row>
    <x:row r="36" ht="26" customHeight="1">
      <x:c r="A36" s="2" t="str">
        <x:v>R035</x:v>
      </x:c>
      <x:c r="B36" s="2" t="str">
        <x:v>практика</x:v>
      </x:c>
      <x:c r="C36" s="2" t="str">
        <x:v>отрицательная</x:v>
      </x:c>
      <x:c r="D36" s="2" t="str">
        <x:v>Не хватило самостоятельной практики</x:v>
      </x:c>
      <x:c r="E36" s="2" t="str">
        <x:v>нет</x:v>
      </x:c>
    </x:row>
    <x:row r="37" ht="26" customHeight="1">
      <x:c r="A37" s="2" t="str">
        <x:v>R036</x:v>
      </x:c>
      <x:c r="B37" s="2" t="str">
        <x:v>доступ к сервисам</x:v>
      </x:c>
      <x:c r="C37" s="2" t="str">
        <x:v>отрицательная</x:v>
      </x:c>
      <x:c r="D37" s="2" t="str">
        <x:v>Не удалось зарегистрироваться в сервисе</x:v>
      </x:c>
      <x:c r="E37" s="2" t="str">
        <x:v>нет</x:v>
      </x:c>
    </x:row>
    <x:row r="38" ht="26" customHeight="1">
      <x:c r="A38" s="2" t="str">
        <x:v>R037</x:v>
      </x:c>
      <x:c r="B38" s="2" t="str">
        <x:v>стоимость сервисов</x:v>
      </x:c>
      <x:c r="C38" s="2" t="str">
        <x:v>отрицательная</x:v>
      </x:c>
      <x:c r="D38" s="2" t="str">
        <x:v>Непонятно, какие функции требуют оплаты</x:v>
      </x:c>
      <x:c r="E38" s="2" t="str">
        <x:v>нет</x:v>
      </x:c>
    </x:row>
    <x:row r="39" ht="26" customHeight="1">
      <x:c r="A39" s="2" t="str">
        <x:v>R038</x:v>
      </x:c>
      <x:c r="B39" s="2" t="str">
        <x:v>материалы</x:v>
      </x:c>
      <x:c r="C39" s="2" t="str">
        <x:v>отрицательная</x:v>
      </x:c>
      <x:c r="D39" s="2" t="str">
        <x:v>Не нашёл файл с примером после занятия</x:v>
      </x:c>
      <x:c r="E39" s="2" t="str">
        <x:v>нет</x:v>
      </x:c>
    </x:row>
    <x:row r="40" ht="26" customHeight="1">
      <x:c r="A40" s="2" t="str">
        <x:v>R039</x:v>
      </x:c>
      <x:c r="B40" s="2" t="str">
        <x:v>организация</x:v>
      </x:c>
      <x:c r="C40" s="2" t="str">
        <x:v>отрицательная</x:v>
      </x:c>
      <x:c r="D40" s="2" t="str">
        <x:v>Не было слышно часть объяснения</x:v>
      </x:c>
      <x:c r="E40" s="2" t="str">
        <x:v>нет</x:v>
      </x:c>
    </x:row>
    <x:row r="41" ht="26" customHeight="1">
      <x:c r="A41" s="2" t="str">
        <x:v>R040</x:v>
      </x:c>
      <x:c r="B41" s="2" t="str">
        <x:v>другое</x:v>
      </x:c>
      <x:c r="C41" s="2" t="str">
        <x:v>нейтральная</x:v>
      </x:c>
      <x:c r="D41" s="2" t="str">
        <x:v>Нормально</x:v>
      </x:c>
      <x:c r="E41" s="2" t="str">
        <x:v>да</x:v>
      </x:c>
    </x:row>
    <x:row r="42" ht="26" customHeight="1">
      <x:c r="A42" s="2" t="str">
        <x:v>R041</x:v>
      </x:c>
      <x:c r="B42" s="2" t="str">
        <x:v>понятность</x:v>
      </x:c>
      <x:c r="C42" s="2" t="str">
        <x:v>смешанная</x:v>
      </x:c>
      <x:c r="D42" s="2" t="str">
        <x:v>Термины объяснили понятно, но часть шагов осталась неясной</x:v>
      </x:c>
      <x:c r="E42" s="2" t="str">
        <x:v>да</x:v>
      </x:c>
    </x:row>
    <x:row r="43" ht="26" customHeight="1">
      <x:c r="A43" s="2" t="str">
        <x:v>R042</x:v>
      </x:c>
      <x:c r="B43" s="2" t="str">
        <x:v>темп</x:v>
      </x:c>
      <x:c r="C43" s="2" t="str">
        <x:v>смешанная</x:v>
      </x:c>
      <x:c r="D43" s="2" t="str">
        <x:v>Начало шло спокойно, а конец был слишком быстрым</x:v>
      </x:c>
      <x:c r="E43" s="2" t="str">
        <x:v>да</x:v>
      </x:c>
    </x:row>
    <x:row r="44" ht="26" customHeight="1">
      <x:c r="A44" s="2" t="str">
        <x:v>R043</x:v>
      </x:c>
      <x:c r="B44" s="2" t="str">
        <x:v>практика</x:v>
      </x:c>
      <x:c r="C44" s="2" t="str">
        <x:v>смешанная</x:v>
      </x:c>
      <x:c r="D44" s="2" t="str">
        <x:v>Примеры полезные, но хочу задание для своей работы</x:v>
      </x:c>
      <x:c r="E44" s="2" t="str">
        <x:v>да</x:v>
      </x:c>
    </x:row>
    <x:row r="45" ht="26" customHeight="1">
      <x:c r="A45" s="2" t="str">
        <x:v>R044</x:v>
      </x:c>
      <x:c r="B45" s="2" t="str">
        <x:v>доступ к сервисам</x:v>
      </x:c>
      <x:c r="C45" s="2" t="str">
        <x:v>смешанная</x:v>
      </x:c>
      <x:c r="D45" s="2" t="str">
        <x:v>Сначала не смог войти, потом помог резервный способ</x:v>
      </x:c>
      <x:c r="E45" s="2" t="str">
        <x:v>да</x:v>
      </x:c>
    </x:row>
    <x:row r="46" ht="26" customHeight="1">
      <x:c r="A46" s="2" t="str">
        <x:v>R045</x:v>
      </x:c>
      <x:c r="B46" s="2" t="str">
        <x:v>стоимость сервисов</x:v>
      </x:c>
      <x:c r="C46" s="2" t="str">
        <x:v>смешанная</x:v>
      </x:c>
      <x:c r="D46" s="2" t="str">
        <x:v>Бесплатного режима хватило для примера, но дальше есть ограничения</x:v>
      </x:c>
      <x:c r="E46" s="2" t="str">
        <x:v>да</x:v>
      </x:c>
    </x:row>
    <x:row r="47" ht="26" customHeight="1">
      <x:c r="A47" s="2" t="str">
        <x:v>R046</x:v>
      </x:c>
      <x:c r="B47" s="2" t="str">
        <x:v>материалы</x:v>
      </x:c>
      <x:c r="C47" s="2" t="str">
        <x:v>смешанная</x:v>
      </x:c>
      <x:c r="D47" s="2" t="str">
        <x:v>Запись полезная, хотелось бы добавить таймкоды</x:v>
      </x:c>
      <x:c r="E47" s="2" t="str">
        <x:v>да</x:v>
      </x:c>
    </x:row>
    <x:row r="48" ht="26" customHeight="1">
      <x:c r="A48" s="2" t="str">
        <x:v>R047</x:v>
      </x:c>
      <x:c r="B48" s="2" t="str">
        <x:v>организация</x:v>
      </x:c>
      <x:c r="C48" s="2" t="str">
        <x:v>смешанная</x:v>
      </x:c>
      <x:c r="D48" s="2" t="str">
        <x:v>Подключился легко, но вопросы в чате остались без ответа</x:v>
      </x:c>
      <x:c r="E48" s="2" t="str">
        <x:v>да</x:v>
      </x:c>
    </x:row>
    <x:row r="49" ht="26" customHeight="1">
      <x:c r="A49" s="2" t="str">
        <x:v>R048</x:v>
      </x:c>
      <x:c r="B49" s="2" t="str">
        <x:v>другое</x:v>
      </x:c>
      <x:c r="C49" s="2" t="str">
        <x:v>нейтральная</x:v>
      </x:c>
      <x:c r="D49" s="2" t="str">
        <x:v>Пока не решил, где буду это применять</x:v>
      </x:c>
      <x:c r="E49" s="2" t="str">
        <x:v>да</x:v>
      </x:c>
    </x:row>
    <x:row r="50" ht="26" customHeight="1">
      <x:c r="A50" s="2" t="str">
        <x:v>R049</x:v>
      </x:c>
      <x:c r="B50" s="2" t="str">
        <x:v>понятность</x:v>
      </x:c>
      <x:c r="C50" s="2" t="str">
        <x:v>положительная</x:v>
      </x:c>
      <x:c r="D50" s="2" t="str">
        <x:v>Объяснение стало понятным после примера</x:v>
      </x:c>
      <x:c r="E50" s="2" t="str">
        <x:v>нет</x:v>
      </x:c>
    </x:row>
    <x:row r="51" ht="26" customHeight="1">
      <x:c r="A51" s="2" t="str">
        <x:v>R050</x:v>
      </x:c>
      <x:c r="B51" s="2" t="str">
        <x:v>темп</x:v>
      </x:c>
      <x:c r="C51" s="2" t="str">
        <x:v>положительная</x:v>
      </x:c>
      <x:c r="D51" s="2" t="str">
        <x:v>Успевал повторять действия на экране</x:v>
      </x:c>
      <x:c r="E51" s="2" t="str">
        <x:v>нет</x:v>
      </x:c>
    </x:row>
    <x:row r="52" ht="26" customHeight="1">
      <x:c r="A52" s="2" t="str">
        <x:v>R051</x:v>
      </x:c>
      <x:c r="B52" s="2" t="str">
        <x:v>практика</x:v>
      </x:c>
      <x:c r="C52" s="2" t="str">
        <x:v>положительная</x:v>
      </x:c>
      <x:c r="D52" s="2" t="str">
        <x:v>Сам сделал письмо клиенту по образцу</x:v>
      </x:c>
      <x:c r="E52" s="2" t="str">
        <x:v>нет</x:v>
      </x:c>
    </x:row>
    <x:row r="53" ht="26" customHeight="1">
      <x:c r="A53" s="2" t="str">
        <x:v>R052</x:v>
      </x:c>
      <x:c r="B53" s="2" t="str">
        <x:v>доступ к сервисам</x:v>
      </x:c>
      <x:c r="C53" s="2" t="str">
        <x:v>положительная</x:v>
      </x:c>
      <x:c r="D53" s="2" t="str">
        <x:v>Получилось войти в сервис и выполнить задание</x:v>
      </x:c>
      <x:c r="E53" s="2" t="str">
        <x:v>нет</x:v>
      </x:c>
    </x:row>
    <x:row r="54" ht="26" customHeight="1">
      <x:c r="A54" s="2" t="str">
        <x:v>R053</x:v>
      </x:c>
      <x:c r="B54" s="2" t="str">
        <x:v>стоимость сервисов</x:v>
      </x:c>
      <x:c r="C54" s="2" t="str">
        <x:v>положительная</x:v>
      </x:c>
      <x:c r="D54" s="2" t="str">
        <x:v>Нашёл подходящий бесплатный инструмент</x:v>
      </x:c>
      <x:c r="E54" s="2" t="str">
        <x:v>нет</x:v>
      </x:c>
    </x:row>
    <x:row r="55" ht="26" customHeight="1">
      <x:c r="A55" s="2" t="str">
        <x:v>R054</x:v>
      </x:c>
      <x:c r="B55" s="2" t="str">
        <x:v>материалы</x:v>
      </x:c>
      <x:c r="C55" s="2" t="str">
        <x:v>положительная</x:v>
      </x:c>
      <x:c r="D55" s="2" t="str">
        <x:v>Сохранил памятку и повторил по ней шаги</x:v>
      </x:c>
      <x:c r="E55" s="2" t="str">
        <x:v>нет</x:v>
      </x:c>
    </x:row>
    <x:row r="56" ht="26" customHeight="1">
      <x:c r="A56" s="2" t="str">
        <x:v>R055</x:v>
      </x:c>
      <x:c r="B56" s="2" t="str">
        <x:v>организация</x:v>
      </x:c>
      <x:c r="C56" s="2" t="str">
        <x:v>положительная</x:v>
      </x:c>
      <x:c r="D56" s="2" t="str">
        <x:v>Ссылка пришла вовремя, звук был хороший</x:v>
      </x:c>
      <x:c r="E56" s="2" t="str">
        <x:v>нет</x:v>
      </x:c>
    </x:row>
    <x:row r="57" ht="26" customHeight="1">
      <x:c r="A57" s="2" t="str">
        <x:v>R056</x:v>
      </x:c>
      <x:c r="B57" s="2" t="str">
        <x:v>другое</x:v>
      </x:c>
      <x:c r="C57" s="2" t="str">
        <x:v>положительная</x:v>
      </x:c>
      <x:c r="D57" s="2" t="str">
        <x:v>Спасибо за занятие</x:v>
      </x:c>
      <x:c r="E57" s="2" t="str">
        <x:v>нет</x:v>
      </x:c>
    </x:row>
    <x:row r="58" ht="26" customHeight="1">
      <x:c r="A58" s="2" t="str">
        <x:v>R057</x:v>
      </x:c>
      <x:c r="B58" s="2" t="str">
        <x:v>понятность</x:v>
      </x:c>
      <x:c r="C58" s="2" t="str">
        <x:v>отрицательная</x:v>
      </x:c>
      <x:c r="D58" s="2" t="str">
        <x:v>Не понял разницу между задачей и запросом</x:v>
      </x:c>
      <x:c r="E58" s="2" t="str">
        <x:v>нет</x:v>
      </x:c>
    </x:row>
    <x:row r="59" ht="26" customHeight="1">
      <x:c r="A59" s="2" t="str">
        <x:v>R058</x:v>
      </x:c>
      <x:c r="B59" s="2" t="str">
        <x:v>темп</x:v>
      </x:c>
      <x:c r="C59" s="2" t="str">
        <x:v>отрицательная</x:v>
      </x:c>
      <x:c r="D59" s="2" t="str">
        <x:v>Слишком быстро переключались между окнами</x:v>
      </x:c>
      <x:c r="E59" s="2" t="str">
        <x:v>нет</x:v>
      </x:c>
    </x:row>
    <x:row r="60" ht="26" customHeight="1">
      <x:c r="A60" s="2" t="str">
        <x:v>R059</x:v>
      </x:c>
      <x:c r="B60" s="2" t="str">
        <x:v>практика</x:v>
      </x:c>
      <x:c r="C60" s="2" t="str">
        <x:v>отрицательная</x:v>
      </x:c>
      <x:c r="D60" s="2" t="str">
        <x:v>Не хватило самостоятельной практики</x:v>
      </x:c>
      <x:c r="E60" s="2" t="str">
        <x:v>нет</x:v>
      </x:c>
    </x:row>
    <x:row r="61" ht="26" customHeight="1">
      <x:c r="A61" s="2" t="str">
        <x:v>R060</x:v>
      </x:c>
      <x:c r="B61" s="2" t="str">
        <x:v>доступ к сервисам</x:v>
      </x:c>
      <x:c r="C61" s="2" t="str">
        <x:v>отрицательная</x:v>
      </x:c>
      <x:c r="D61" s="2" t="str">
        <x:v>Не удалось зарегистрироваться в сервисе</x:v>
      </x:c>
      <x:c r="E61" s="2" t="str">
        <x:v>нет</x:v>
      </x:c>
    </x:row>
    <x:row r="62" ht="26" customHeight="1">
      <x:c r="A62" s="2" t="str">
        <x:v>R061</x:v>
      </x:c>
      <x:c r="B62" s="2" t="str">
        <x:v>стоимость сервисов</x:v>
      </x:c>
      <x:c r="C62" s="2" t="str">
        <x:v>отрицательная</x:v>
      </x:c>
      <x:c r="D62" s="2" t="str">
        <x:v>Непонятно, какие функции требуют оплаты</x:v>
      </x:c>
      <x:c r="E62" s="2" t="str">
        <x:v>нет</x:v>
      </x:c>
    </x:row>
    <x:row r="63" ht="26" customHeight="1">
      <x:c r="A63" s="2" t="str">
        <x:v>R062</x:v>
      </x:c>
      <x:c r="B63" s="2" t="str">
        <x:v>материалы</x:v>
      </x:c>
      <x:c r="C63" s="2" t="str">
        <x:v>отрицательная</x:v>
      </x:c>
      <x:c r="D63" s="2" t="str">
        <x:v>Не нашёл файл с примером после занятия</x:v>
      </x:c>
      <x:c r="E63" s="2" t="str">
        <x:v>нет</x:v>
      </x:c>
    </x:row>
    <x:row r="64" ht="26" customHeight="1">
      <x:c r="A64" s="2" t="str">
        <x:v>R063</x:v>
      </x:c>
      <x:c r="B64" s="2" t="str">
        <x:v>организация</x:v>
      </x:c>
      <x:c r="C64" s="2" t="str">
        <x:v>отрицательная</x:v>
      </x:c>
      <x:c r="D64" s="2" t="str">
        <x:v>Не было слышно часть объяснения</x:v>
      </x:c>
      <x:c r="E64" s="2" t="str">
        <x:v>нет</x:v>
      </x:c>
    </x:row>
    <x:row r="65" ht="26" customHeight="1">
      <x:c r="A65" s="2" t="str">
        <x:v>R064</x:v>
      </x:c>
      <x:c r="B65" s="2" t="str">
        <x:v>другое</x:v>
      </x:c>
      <x:c r="C65" s="2" t="str">
        <x:v>нейтральная</x:v>
      </x:c>
      <x:c r="D65" s="2" t="str">
        <x:v>Нормально</x:v>
      </x:c>
      <x:c r="E65" s="2" t="str">
        <x:v>да</x:v>
      </x:c>
    </x:row>
    <x:row r="66" ht="26" customHeight="1">
      <x:c r="A66" s="2" t="str">
        <x:v>R065</x:v>
      </x:c>
      <x:c r="B66" s="2" t="str">
        <x:v>понятность</x:v>
      </x:c>
      <x:c r="C66" s="2" t="str">
        <x:v>смешанная</x:v>
      </x:c>
      <x:c r="D66" s="2" t="str">
        <x:v>Термины объяснили понятно, но часть шагов осталась неясной</x:v>
      </x:c>
      <x:c r="E66" s="2" t="str">
        <x:v>да</x:v>
      </x:c>
    </x:row>
    <x:row r="67" ht="26" customHeight="1">
      <x:c r="A67" s="2" t="str">
        <x:v>R066</x:v>
      </x:c>
      <x:c r="B67" s="2" t="str">
        <x:v>темп</x:v>
      </x:c>
      <x:c r="C67" s="2" t="str">
        <x:v>смешанная</x:v>
      </x:c>
      <x:c r="D67" s="2" t="str">
        <x:v>Начало шло спокойно, а конец был слишком быстрым</x:v>
      </x:c>
      <x:c r="E67" s="2" t="str">
        <x:v>да</x:v>
      </x:c>
    </x:row>
    <x:row r="68" ht="26" customHeight="1">
      <x:c r="A68" s="2" t="str">
        <x:v>R067</x:v>
      </x:c>
      <x:c r="B68" s="2" t="str">
        <x:v>практика</x:v>
      </x:c>
      <x:c r="C68" s="2" t="str">
        <x:v>смешанная</x:v>
      </x:c>
      <x:c r="D68" s="2" t="str">
        <x:v>Примеры полезные, но хочу задание для своей работы</x:v>
      </x:c>
      <x:c r="E68" s="2" t="str">
        <x:v>да</x:v>
      </x:c>
    </x:row>
    <x:row r="69" ht="26" customHeight="1">
      <x:c r="A69" s="2" t="str">
        <x:v>R068</x:v>
      </x:c>
      <x:c r="B69" s="2" t="str">
        <x:v>доступ к сервисам</x:v>
      </x:c>
      <x:c r="C69" s="2" t="str">
        <x:v>смешанная</x:v>
      </x:c>
      <x:c r="D69" s="2" t="str">
        <x:v>Сначала не смог войти, потом помог резервный способ</x:v>
      </x:c>
      <x:c r="E69" s="2" t="str">
        <x:v>да</x:v>
      </x:c>
    </x:row>
    <x:row r="70" ht="26" customHeight="1">
      <x:c r="A70" s="2" t="str">
        <x:v>R069</x:v>
      </x:c>
      <x:c r="B70" s="2" t="str">
        <x:v>стоимость сервисов</x:v>
      </x:c>
      <x:c r="C70" s="2" t="str">
        <x:v>смешанная</x:v>
      </x:c>
      <x:c r="D70" s="2" t="str">
        <x:v>Бесплатного режима хватило для примера, но дальше есть ограничения</x:v>
      </x:c>
      <x:c r="E70" s="2" t="str">
        <x:v>да</x:v>
      </x:c>
    </x:row>
    <x:row r="71" ht="26" customHeight="1">
      <x:c r="A71" s="2" t="str">
        <x:v>R070</x:v>
      </x:c>
      <x:c r="B71" s="2" t="str">
        <x:v>материалы</x:v>
      </x:c>
      <x:c r="C71" s="2" t="str">
        <x:v>смешанная</x:v>
      </x:c>
      <x:c r="D71" s="2" t="str">
        <x:v>Запись полезная, хотелось бы добавить таймкоды</x:v>
      </x:c>
      <x:c r="E71" s="2" t="str">
        <x:v>да</x:v>
      </x:c>
    </x:row>
    <x:row r="72" ht="26" customHeight="1">
      <x:c r="A72" s="2" t="str">
        <x:v>R071</x:v>
      </x:c>
      <x:c r="B72" s="2" t="str">
        <x:v>организация</x:v>
      </x:c>
      <x:c r="C72" s="2" t="str">
        <x:v>смешанная</x:v>
      </x:c>
      <x:c r="D72" s="2" t="str">
        <x:v>Подключился легко, но вопросы в чате остались без ответа</x:v>
      </x:c>
      <x:c r="E72" s="2" t="str">
        <x:v>да</x:v>
      </x:c>
    </x:row>
    <x:row r="73" ht="26" customHeight="1">
      <x:c r="A73" s="2" t="str">
        <x:v>R072</x:v>
      </x:c>
      <x:c r="B73" s="2" t="str">
        <x:v>другое</x:v>
      </x:c>
      <x:c r="C73" s="2" t="str">
        <x:v>нейтральная</x:v>
      </x:c>
      <x:c r="D73" s="2" t="str">
        <x:v>Пока не решил, где буду это применять</x:v>
      </x:c>
      <x:c r="E73" s="2" t="str">
        <x:v>да</x:v>
      </x:c>
    </x:row>
    <x:row r="74" ht="26" customHeight="1">
      <x:c r="A74" s="2" t="str">
        <x:v>R073</x:v>
      </x:c>
      <x:c r="B74" s="2" t="str">
        <x:v>понятность</x:v>
      </x:c>
      <x:c r="C74" s="2" t="str">
        <x:v>положительная</x:v>
      </x:c>
      <x:c r="D74" s="2" t="str">
        <x:v>Объяснение стало понятным после примера</x:v>
      </x:c>
      <x:c r="E74" s="2" t="str">
        <x:v>нет</x:v>
      </x:c>
    </x:row>
    <x:row r="75" ht="26" customHeight="1">
      <x:c r="A75" s="2" t="str">
        <x:v>R074</x:v>
      </x:c>
      <x:c r="B75" s="2" t="str">
        <x:v>темп</x:v>
      </x:c>
      <x:c r="C75" s="2" t="str">
        <x:v>положительная</x:v>
      </x:c>
      <x:c r="D75" s="2" t="str">
        <x:v>Успевал повторять действия на экране</x:v>
      </x:c>
      <x:c r="E75" s="2" t="str">
        <x:v>нет</x:v>
      </x:c>
    </x:row>
    <x:row r="76" ht="26" customHeight="1">
      <x:c r="A76" s="2" t="str">
        <x:v>R075</x:v>
      </x:c>
      <x:c r="B76" s="2" t="str">
        <x:v>практика</x:v>
      </x:c>
      <x:c r="C76" s="2" t="str">
        <x:v>положительная</x:v>
      </x:c>
      <x:c r="D76" s="2" t="str">
        <x:v>Сам сделал письмо клиенту по образцу</x:v>
      </x:c>
      <x:c r="E76" s="2" t="str">
        <x:v>нет</x:v>
      </x:c>
    </x:row>
    <x:row r="77" ht="26" customHeight="1">
      <x:c r="A77" s="2" t="str">
        <x:v>R076</x:v>
      </x:c>
      <x:c r="B77" s="2" t="str">
        <x:v>доступ к сервисам</x:v>
      </x:c>
      <x:c r="C77" s="2" t="str">
        <x:v>положительная</x:v>
      </x:c>
      <x:c r="D77" s="2" t="str">
        <x:v>Получилось войти в сервис и выполнить задание</x:v>
      </x:c>
      <x:c r="E77" s="2" t="str">
        <x:v>нет</x:v>
      </x:c>
    </x:row>
    <x:row r="78" ht="26" customHeight="1">
      <x:c r="A78" s="2" t="str">
        <x:v>R077</x:v>
      </x:c>
      <x:c r="B78" s="2" t="str">
        <x:v>стоимость сервисов</x:v>
      </x:c>
      <x:c r="C78" s="2" t="str">
        <x:v>положительная</x:v>
      </x:c>
      <x:c r="D78" s="2" t="str">
        <x:v>Нашёл подходящий бесплатный инструмент</x:v>
      </x:c>
      <x:c r="E78" s="2" t="str">
        <x:v>нет</x:v>
      </x:c>
    </x:row>
    <x:row r="79" ht="26" customHeight="1">
      <x:c r="A79" s="2" t="str">
        <x:v>R078</x:v>
      </x:c>
      <x:c r="B79" s="2" t="str">
        <x:v>материалы</x:v>
      </x:c>
      <x:c r="C79" s="2" t="str">
        <x:v>положительная</x:v>
      </x:c>
      <x:c r="D79" s="2" t="str">
        <x:v>Сохранил памятку и повторил по ней шаги</x:v>
      </x:c>
      <x:c r="E79" s="2" t="str">
        <x:v>нет</x:v>
      </x:c>
    </x:row>
    <x:row r="80" ht="26" customHeight="1">
      <x:c r="A80" s="2" t="str">
        <x:v>R079</x:v>
      </x:c>
      <x:c r="B80" s="2" t="str">
        <x:v>организация</x:v>
      </x:c>
      <x:c r="C80" s="2" t="str">
        <x:v>положительная</x:v>
      </x:c>
      <x:c r="D80" s="2" t="str">
        <x:v>Ссылка пришла вовремя, звук был хороший</x:v>
      </x:c>
      <x:c r="E80" s="2" t="str">
        <x:v>нет</x:v>
      </x:c>
    </x:row>
    <x:row r="81" ht="26" customHeight="1">
      <x:c r="A81" s="2" t="str">
        <x:v>R080</x:v>
      </x:c>
      <x:c r="B81" s="2" t="str">
        <x:v>другое</x:v>
      </x:c>
      <x:c r="C81" s="2" t="str">
        <x:v>положительная</x:v>
      </x:c>
      <x:c r="D81" s="2" t="str">
        <x:v>Спасибо за занятие</x:v>
      </x:c>
      <x:c r="E81" s="2" t="str">
        <x:v>нет</x:v>
      </x:c>
    </x:row>
    <x:row r="82" ht="26" customHeight="1">
      <x:c r="A82" s="2" t="str">
        <x:v>R081</x:v>
      </x:c>
      <x:c r="B82" s="2" t="str">
        <x:v>понятность</x:v>
      </x:c>
      <x:c r="C82" s="2" t="str">
        <x:v>отрицательная</x:v>
      </x:c>
      <x:c r="D82" s="2" t="str">
        <x:v>Не понял разницу между задачей и запросом</x:v>
      </x:c>
      <x:c r="E82" s="2" t="str">
        <x:v>нет</x:v>
      </x:c>
    </x:row>
    <x:row r="83" ht="26" customHeight="1">
      <x:c r="A83" s="2" t="str">
        <x:v>R082</x:v>
      </x:c>
      <x:c r="B83" s="2" t="str">
        <x:v>темп</x:v>
      </x:c>
      <x:c r="C83" s="2" t="str">
        <x:v>отрицательная</x:v>
      </x:c>
      <x:c r="D83" s="2" t="str">
        <x:v>Слишком быстро переключались между окнами</x:v>
      </x:c>
      <x:c r="E83" s="2" t="str">
        <x:v>нет</x:v>
      </x:c>
    </x:row>
    <x:row r="84" ht="26" customHeight="1">
      <x:c r="A84" s="2" t="str">
        <x:v>R083</x:v>
      </x:c>
      <x:c r="B84" s="2" t="str">
        <x:v>практика</x:v>
      </x:c>
      <x:c r="C84" s="2" t="str">
        <x:v>отрицательная</x:v>
      </x:c>
      <x:c r="D84" s="2" t="str">
        <x:v>Не хватило самостоятельной практики</x:v>
      </x:c>
      <x:c r="E84" s="2" t="str">
        <x:v>нет</x:v>
      </x:c>
    </x:row>
    <x:row r="85" ht="26" customHeight="1">
      <x:c r="A85" s="2" t="str">
        <x:v>R084</x:v>
      </x:c>
      <x:c r="B85" s="2" t="str">
        <x:v>доступ к сервисам</x:v>
      </x:c>
      <x:c r="C85" s="2" t="str">
        <x:v>отрицательная</x:v>
      </x:c>
      <x:c r="D85" s="2" t="str">
        <x:v>Не удалось зарегистрироваться в сервисе</x:v>
      </x:c>
      <x:c r="E85" s="2" t="str">
        <x:v>нет</x:v>
      </x:c>
    </x:row>
    <x:row r="86" ht="26" customHeight="1">
      <x:c r="A86" s="2" t="str">
        <x:v>R085</x:v>
      </x:c>
      <x:c r="B86" s="2" t="str">
        <x:v>стоимость сервисов</x:v>
      </x:c>
      <x:c r="C86" s="2" t="str">
        <x:v>отрицательная</x:v>
      </x:c>
      <x:c r="D86" s="2" t="str">
        <x:v>Непонятно, какие функции требуют оплаты</x:v>
      </x:c>
      <x:c r="E86" s="2" t="str">
        <x:v>нет</x:v>
      </x:c>
    </x:row>
    <x:row r="87" ht="26" customHeight="1">
      <x:c r="A87" s="2" t="str">
        <x:v>R086</x:v>
      </x:c>
      <x:c r="B87" s="2" t="str">
        <x:v>материалы</x:v>
      </x:c>
      <x:c r="C87" s="2" t="str">
        <x:v>отрицательная</x:v>
      </x:c>
      <x:c r="D87" s="2" t="str">
        <x:v>Не нашёл файл с примером после занятия</x:v>
      </x:c>
      <x:c r="E87" s="2" t="str">
        <x:v>нет</x:v>
      </x:c>
    </x:row>
    <x:row r="88" ht="26" customHeight="1">
      <x:c r="A88" s="2" t="str">
        <x:v>R087</x:v>
      </x:c>
      <x:c r="B88" s="2" t="str">
        <x:v>организация</x:v>
      </x:c>
      <x:c r="C88" s="2" t="str">
        <x:v>отрицательная</x:v>
      </x:c>
      <x:c r="D88" s="2" t="str">
        <x:v>Не было слышно часть объяснения</x:v>
      </x:c>
      <x:c r="E88" s="2" t="str">
        <x:v>нет</x:v>
      </x:c>
    </x:row>
    <x:row r="89" ht="26" customHeight="1">
      <x:c r="A89" s="2" t="str">
        <x:v>R088</x:v>
      </x:c>
      <x:c r="B89" s="2" t="str">
        <x:v>другое</x:v>
      </x:c>
      <x:c r="C89" s="2" t="str">
        <x:v>нейтральная</x:v>
      </x:c>
      <x:c r="D89" s="2" t="str">
        <x:v>Нормально</x:v>
      </x:c>
      <x:c r="E89" s="2" t="str">
        <x:v>да</x:v>
      </x:c>
    </x:row>
    <x:row r="90" ht="26" customHeight="1">
      <x:c r="A90" s="2" t="str">
        <x:v>R089</x:v>
      </x:c>
      <x:c r="B90" s="2" t="str">
        <x:v>понятность</x:v>
      </x:c>
      <x:c r="C90" s="2" t="str">
        <x:v>смешанная</x:v>
      </x:c>
      <x:c r="D90" s="2" t="str">
        <x:v>Термины объяснили понятно, но часть шагов осталась неясной</x:v>
      </x:c>
      <x:c r="E90" s="2" t="str">
        <x:v>да</x:v>
      </x:c>
    </x:row>
    <x:row r="91" ht="26" customHeight="1">
      <x:c r="A91" s="2" t="str">
        <x:v>R090</x:v>
      </x:c>
      <x:c r="B91" s="2" t="str">
        <x:v>темп</x:v>
      </x:c>
      <x:c r="C91" s="2" t="str">
        <x:v>смешанная</x:v>
      </x:c>
      <x:c r="D91" s="2" t="str">
        <x:v>Начало шло спокойно, а конец был слишком быстрым</x:v>
      </x:c>
      <x:c r="E91" s="2" t="str">
        <x:v>да</x:v>
      </x:c>
    </x:row>
    <x:row r="92" ht="26" customHeight="1">
      <x:c r="A92" s="2" t="str">
        <x:v>R091</x:v>
      </x:c>
      <x:c r="B92" s="2" t="str">
        <x:v>практика</x:v>
      </x:c>
      <x:c r="C92" s="2" t="str">
        <x:v>смешанная</x:v>
      </x:c>
      <x:c r="D92" s="2" t="str">
        <x:v>Примеры полезные, но хочу задание для своей работы</x:v>
      </x:c>
      <x:c r="E92" s="2" t="str">
        <x:v>да</x:v>
      </x:c>
    </x:row>
    <x:row r="93" ht="26" customHeight="1">
      <x:c r="A93" s="2" t="str">
        <x:v>R092</x:v>
      </x:c>
      <x:c r="B93" s="2" t="str">
        <x:v>доступ к сервисам</x:v>
      </x:c>
      <x:c r="C93" s="2" t="str">
        <x:v>смешанная</x:v>
      </x:c>
      <x:c r="D93" s="2" t="str">
        <x:v>Сначала не смог войти, потом помог резервный способ</x:v>
      </x:c>
      <x:c r="E93" s="2" t="str">
        <x:v>да</x:v>
      </x:c>
    </x:row>
    <x:row r="94" ht="26" customHeight="1">
      <x:c r="A94" s="2" t="str">
        <x:v>R093</x:v>
      </x:c>
      <x:c r="B94" s="2" t="str">
        <x:v>стоимость сервисов</x:v>
      </x:c>
      <x:c r="C94" s="2" t="str">
        <x:v>смешанная</x:v>
      </x:c>
      <x:c r="D94" s="2" t="str">
        <x:v>Бесплатного режима хватило для примера, но дальше есть ограничения</x:v>
      </x:c>
      <x:c r="E94" s="2" t="str">
        <x:v>да</x:v>
      </x:c>
    </x:row>
    <x:row r="95" ht="26" customHeight="1">
      <x:c r="A95" s="2" t="str">
        <x:v>R094</x:v>
      </x:c>
      <x:c r="B95" s="2" t="str">
        <x:v>материалы</x:v>
      </x:c>
      <x:c r="C95" s="2" t="str">
        <x:v>смешанная</x:v>
      </x:c>
      <x:c r="D95" s="2" t="str">
        <x:v>Запись полезная, хотелось бы добавить таймкоды</x:v>
      </x:c>
      <x:c r="E95" s="2" t="str">
        <x:v>да</x:v>
      </x:c>
    </x:row>
    <x:row r="96" ht="26" customHeight="1">
      <x:c r="A96" s="2" t="str">
        <x:v>R095</x:v>
      </x:c>
      <x:c r="B96" s="2" t="str">
        <x:v>организация</x:v>
      </x:c>
      <x:c r="C96" s="2" t="str">
        <x:v>смешанная</x:v>
      </x:c>
      <x:c r="D96" s="2" t="str">
        <x:v>Подключился легко, но вопросы в чате остались без ответа</x:v>
      </x:c>
      <x:c r="E96" s="2" t="str">
        <x:v>да</x:v>
      </x:c>
    </x:row>
    <x:row r="97" ht="26" customHeight="1">
      <x:c r="A97" s="2" t="str">
        <x:v>R096</x:v>
      </x:c>
      <x:c r="B97" s="2" t="str">
        <x:v>другое</x:v>
      </x:c>
      <x:c r="C97" s="2" t="str">
        <x:v>нейтральная</x:v>
      </x:c>
      <x:c r="D97" s="2" t="str">
        <x:v>Пока не решил, где буду это применять</x:v>
      </x:c>
      <x:c r="E97" s="2" t="str">
        <x:v>да</x:v>
      </x:c>
    </x:row>
    <x:row r="98" ht="26" customHeight="1">
      <x:c r="A98" s="2" t="str">
        <x:v>R097</x:v>
      </x:c>
      <x:c r="B98" s="2" t="str">
        <x:v>понятность</x:v>
      </x:c>
      <x:c r="C98" s="2" t="str">
        <x:v>положительная</x:v>
      </x:c>
      <x:c r="D98" s="2" t="str">
        <x:v>Объяснение стало понятным после примера</x:v>
      </x:c>
      <x:c r="E98" s="2" t="str">
        <x:v>нет</x:v>
      </x:c>
    </x:row>
    <x:row r="99" ht="26" customHeight="1">
      <x:c r="A99" s="2" t="str">
        <x:v>R098</x:v>
      </x:c>
      <x:c r="B99" s="2" t="str">
        <x:v>темп</x:v>
      </x:c>
      <x:c r="C99" s="2" t="str">
        <x:v>положительная</x:v>
      </x:c>
      <x:c r="D99" s="2" t="str">
        <x:v>Успевал повторять действия на экране</x:v>
      </x:c>
      <x:c r="E99" s="2" t="str">
        <x:v>нет</x:v>
      </x:c>
    </x:row>
    <x:row r="100" ht="26" customHeight="1">
      <x:c r="A100" s="2" t="str">
        <x:v>R099</x:v>
      </x:c>
      <x:c r="B100" s="2" t="str">
        <x:v>практика</x:v>
      </x:c>
      <x:c r="C100" s="2" t="str">
        <x:v>положительная</x:v>
      </x:c>
      <x:c r="D100" s="2" t="str">
        <x:v>Сам сделал письмо клиенту по образцу</x:v>
      </x:c>
      <x:c r="E100" s="2" t="str">
        <x:v>нет</x:v>
      </x:c>
    </x:row>
    <x:row r="101" ht="26" customHeight="1">
      <x:c r="A101" s="2" t="str">
        <x:v>R100</x:v>
      </x:c>
      <x:c r="B101" s="2" t="str">
        <x:v>доступ к сервисам</x:v>
      </x:c>
      <x:c r="C101" s="2" t="str">
        <x:v>положительная</x:v>
      </x:c>
      <x:c r="D101" s="2" t="str">
        <x:v>Получилось войти в сервис и выполнить задание</x:v>
      </x:c>
      <x:c r="E101" s="2" t="str">
        <x:v>нет</x:v>
      </x:c>
    </x:row>
    <x:row r="102" ht="26" customHeight="1">
      <x:c r="A102" s="2" t="str">
        <x:v>R101</x:v>
      </x:c>
      <x:c r="B102" s="2" t="str">
        <x:v>стоимость сервисов</x:v>
      </x:c>
      <x:c r="C102" s="2" t="str">
        <x:v>положительная</x:v>
      </x:c>
      <x:c r="D102" s="2" t="str">
        <x:v>Нашёл подходящий бесплатный инструмент</x:v>
      </x:c>
      <x:c r="E102" s="2" t="str">
        <x:v>нет</x:v>
      </x:c>
    </x:row>
    <x:row r="103" ht="26" customHeight="1">
      <x:c r="A103" s="2" t="str">
        <x:v>R102</x:v>
      </x:c>
      <x:c r="B103" s="2" t="str">
        <x:v>материалы</x:v>
      </x:c>
      <x:c r="C103" s="2" t="str">
        <x:v>положительная</x:v>
      </x:c>
      <x:c r="D103" s="2" t="str">
        <x:v>Сохранил памятку и повторил по ней шаги</x:v>
      </x:c>
      <x:c r="E103" s="2" t="str">
        <x:v>нет</x:v>
      </x:c>
    </x:row>
    <x:row r="104" ht="26" customHeight="1">
      <x:c r="A104" s="2" t="str">
        <x:v>R103</x:v>
      </x:c>
      <x:c r="B104" s="2" t="str">
        <x:v>организация</x:v>
      </x:c>
      <x:c r="C104" s="2" t="str">
        <x:v>положительная</x:v>
      </x:c>
      <x:c r="D104" s="2" t="str">
        <x:v>Ссылка пришла вовремя, звук был хороший</x:v>
      </x:c>
      <x:c r="E104" s="2" t="str">
        <x:v>нет</x:v>
      </x:c>
    </x:row>
    <x:row r="105" ht="26" customHeight="1">
      <x:c r="A105" s="2" t="str">
        <x:v>R104</x:v>
      </x:c>
      <x:c r="B105" s="2" t="str">
        <x:v>другое</x:v>
      </x:c>
      <x:c r="C105" s="2" t="str">
        <x:v>положительная</x:v>
      </x:c>
      <x:c r="D105" s="2" t="str">
        <x:v>Спасибо за занятие</x:v>
      </x:c>
      <x:c r="E105" s="2" t="str">
        <x:v>нет</x:v>
      </x:c>
    </x:row>
    <x:row r="106" ht="26" customHeight="1">
      <x:c r="A106" s="2" t="str">
        <x:v>R105</x:v>
      </x:c>
      <x:c r="B106" s="2" t="str">
        <x:v>понятность</x:v>
      </x:c>
      <x:c r="C106" s="2" t="str">
        <x:v>отрицательная</x:v>
      </x:c>
      <x:c r="D106" s="2" t="str">
        <x:v>Не понял разницу между задачей и запросом</x:v>
      </x:c>
      <x:c r="E106" s="2" t="str">
        <x:v>нет</x:v>
      </x:c>
    </x:row>
    <x:row r="107" ht="26" customHeight="1">
      <x:c r="A107" s="2" t="str">
        <x:v>R106</x:v>
      </x:c>
      <x:c r="B107" s="2" t="str">
        <x:v>темп</x:v>
      </x:c>
      <x:c r="C107" s="2" t="str">
        <x:v>отрицательная</x:v>
      </x:c>
      <x:c r="D107" s="2" t="str">
        <x:v>Слишком быстро переключались между окнами</x:v>
      </x:c>
      <x:c r="E107" s="2" t="str">
        <x:v>нет</x:v>
      </x:c>
    </x:row>
    <x:row r="108" ht="26" customHeight="1">
      <x:c r="A108" s="2" t="str">
        <x:v>R107</x:v>
      </x:c>
      <x:c r="B108" s="2" t="str">
        <x:v>практика</x:v>
      </x:c>
      <x:c r="C108" s="2" t="str">
        <x:v>отрицательная</x:v>
      </x:c>
      <x:c r="D108" s="2" t="str">
        <x:v>Не хватило самостоятельной практики</x:v>
      </x:c>
      <x:c r="E108" s="2" t="str">
        <x:v>нет</x:v>
      </x:c>
    </x:row>
    <x:row r="109" ht="26" customHeight="1">
      <x:c r="A109" s="2" t="str">
        <x:v>R108</x:v>
      </x:c>
      <x:c r="B109" s="2" t="str">
        <x:v>доступ к сервисам</x:v>
      </x:c>
      <x:c r="C109" s="2" t="str">
        <x:v>отрицательная</x:v>
      </x:c>
      <x:c r="D109" s="2" t="str">
        <x:v>Не удалось зарегистрироваться в сервисе</x:v>
      </x:c>
      <x:c r="E109" s="2" t="str">
        <x:v>нет</x:v>
      </x:c>
    </x:row>
    <x:row r="110" ht="26" customHeight="1">
      <x:c r="A110" s="2" t="str">
        <x:v>R109</x:v>
      </x:c>
      <x:c r="B110" s="2" t="str">
        <x:v>стоимость сервисов</x:v>
      </x:c>
      <x:c r="C110" s="2" t="str">
        <x:v>отрицательная</x:v>
      </x:c>
      <x:c r="D110" s="2" t="str">
        <x:v>Непонятно, какие функции требуют оплаты</x:v>
      </x:c>
      <x:c r="E110" s="2" t="str">
        <x:v>нет</x:v>
      </x:c>
    </x:row>
    <x:row r="111" ht="26" customHeight="1">
      <x:c r="A111" s="2" t="str">
        <x:v>R110</x:v>
      </x:c>
      <x:c r="B111" s="2" t="str">
        <x:v>материалы</x:v>
      </x:c>
      <x:c r="C111" s="2" t="str">
        <x:v>отрицательная</x:v>
      </x:c>
      <x:c r="D111" s="2" t="str">
        <x:v>Не нашёл файл с примером после занятия</x:v>
      </x:c>
      <x:c r="E111" s="2" t="str">
        <x:v>нет</x:v>
      </x:c>
    </x:row>
    <x:row r="112" ht="26" customHeight="1">
      <x:c r="A112" s="2" t="str">
        <x:v>R111</x:v>
      </x:c>
      <x:c r="B112" s="2" t="str">
        <x:v>организация</x:v>
      </x:c>
      <x:c r="C112" s="2" t="str">
        <x:v>отрицательная</x:v>
      </x:c>
      <x:c r="D112" s="2" t="str">
        <x:v>Не было слышно часть объяснения</x:v>
      </x:c>
      <x:c r="E112" s="2" t="str">
        <x:v>нет</x:v>
      </x:c>
    </x:row>
    <x:row r="113" ht="26" customHeight="1">
      <x:c r="A113" s="2" t="str">
        <x:v>R112</x:v>
      </x:c>
      <x:c r="B113" s="2" t="str">
        <x:v>другое</x:v>
      </x:c>
      <x:c r="C113" s="2" t="str">
        <x:v>нейтральная</x:v>
      </x:c>
      <x:c r="D113" s="2" t="str">
        <x:v>Нормально</x:v>
      </x:c>
      <x:c r="E113" s="2" t="str">
        <x:v>да</x:v>
      </x:c>
    </x:row>
    <x:row r="114" ht="26" customHeight="1">
      <x:c r="A114" s="2" t="str">
        <x:v>R113</x:v>
      </x:c>
      <x:c r="B114" s="2" t="str">
        <x:v>понятность</x:v>
      </x:c>
      <x:c r="C114" s="2" t="str">
        <x:v>смешанная</x:v>
      </x:c>
      <x:c r="D114" s="2" t="str">
        <x:v>Термины объяснили понятно, но часть шагов осталась неясной</x:v>
      </x:c>
      <x:c r="E114" s="2" t="str">
        <x:v>да</x:v>
      </x:c>
    </x:row>
    <x:row r="115" ht="26" customHeight="1">
      <x:c r="A115" s="2" t="str">
        <x:v>R114</x:v>
      </x:c>
      <x:c r="B115" s="2" t="str">
        <x:v>темп</x:v>
      </x:c>
      <x:c r="C115" s="2" t="str">
        <x:v>смешанная</x:v>
      </x:c>
      <x:c r="D115" s="2" t="str">
        <x:v>Начало шло спокойно, а конец был слишком быстрым</x:v>
      </x:c>
      <x:c r="E115" s="2" t="str">
        <x:v>да</x:v>
      </x:c>
    </x:row>
    <x:row r="116" ht="26" customHeight="1">
      <x:c r="A116" s="2" t="str">
        <x:v>R115</x:v>
      </x:c>
      <x:c r="B116" s="2" t="str">
        <x:v>практика</x:v>
      </x:c>
      <x:c r="C116" s="2" t="str">
        <x:v>смешанная</x:v>
      </x:c>
      <x:c r="D116" s="2" t="str">
        <x:v>Примеры полезные, но хочу задание для своей работы</x:v>
      </x:c>
      <x:c r="E116" s="2" t="str">
        <x:v>да</x:v>
      </x:c>
    </x:row>
    <x:row r="117" ht="26" customHeight="1">
      <x:c r="A117" s="2" t="str">
        <x:v>R116</x:v>
      </x:c>
      <x:c r="B117" s="2" t="str">
        <x:v>доступ к сервисам</x:v>
      </x:c>
      <x:c r="C117" s="2" t="str">
        <x:v>смешанная</x:v>
      </x:c>
      <x:c r="D117" s="2" t="str">
        <x:v>Сначала не смог войти, потом помог резервный способ</x:v>
      </x:c>
      <x:c r="E117" s="2" t="str">
        <x:v>да</x:v>
      </x:c>
    </x:row>
    <x:row r="118" ht="26" customHeight="1">
      <x:c r="A118" s="2" t="str">
        <x:v>R117</x:v>
      </x:c>
      <x:c r="B118" s="2" t="str">
        <x:v>стоимость сервисов</x:v>
      </x:c>
      <x:c r="C118" s="2" t="str">
        <x:v>смешанная</x:v>
      </x:c>
      <x:c r="D118" s="2" t="str">
        <x:v>Бесплатного режима хватило для примера, но дальше есть ограничения</x:v>
      </x:c>
      <x:c r="E118" s="2" t="str">
        <x:v>да</x:v>
      </x:c>
    </x:row>
    <x:row r="119" ht="26" customHeight="1">
      <x:c r="A119" s="2" t="str">
        <x:v>R118</x:v>
      </x:c>
      <x:c r="B119" s="2" t="str">
        <x:v>материалы</x:v>
      </x:c>
      <x:c r="C119" s="2" t="str">
        <x:v>смешанная</x:v>
      </x:c>
      <x:c r="D119" s="2" t="str">
        <x:v>Запись полезная, хотелось бы добавить таймкоды</x:v>
      </x:c>
      <x:c r="E119" s="2" t="str">
        <x:v>да</x:v>
      </x:c>
    </x:row>
    <x:row r="120" ht="26" customHeight="1">
      <x:c r="A120" s="2" t="str">
        <x:v>R119</x:v>
      </x:c>
      <x:c r="B120" s="2" t="str">
        <x:v>организация</x:v>
      </x:c>
      <x:c r="C120" s="2" t="str">
        <x:v>смешанная</x:v>
      </x:c>
      <x:c r="D120" s="2" t="str">
        <x:v>Подключился легко, но вопросы в чате остались без ответа</x:v>
      </x:c>
      <x:c r="E120" s="2" t="str">
        <x:v>да</x:v>
      </x:c>
    </x:row>
    <x:row r="121" ht="26" customHeight="1">
      <x:c r="A121" s="2" t="str">
        <x:v>R120</x:v>
      </x:c>
      <x:c r="B121" s="2" t="str">
        <x:v>другое</x:v>
      </x:c>
      <x:c r="C121" s="2" t="str">
        <x:v>нейтральная</x:v>
      </x:c>
      <x:c r="D121" s="2" t="str">
        <x:v>Пока не решил, где буду это применять</x:v>
      </x:c>
      <x:c r="E121" s="2" t="str">
        <x:v>да</x:v>
      </x:c>
    </x:row>
    <x:row r="122" ht="26" customHeight="1">
      <x:c r="A122" s="2" t="str">
        <x:v>R121</x:v>
      </x:c>
      <x:c r="B122" s="2" t="str">
        <x:v>понятность</x:v>
      </x:c>
      <x:c r="C122" s="2" t="str">
        <x:v>положительная</x:v>
      </x:c>
      <x:c r="D122" s="2" t="str">
        <x:v>Объяснение стало понятным после примера</x:v>
      </x:c>
      <x:c r="E122" s="2" t="str">
        <x:v>нет</x:v>
      </x:c>
    </x:row>
    <x:row r="123" ht="26" customHeight="1">
      <x:c r="A123" s="2" t="str">
        <x:v>R122</x:v>
      </x:c>
      <x:c r="B123" s="2" t="str">
        <x:v>темп</x:v>
      </x:c>
      <x:c r="C123" s="2" t="str">
        <x:v>положительная</x:v>
      </x:c>
      <x:c r="D123" s="2" t="str">
        <x:v>Успевал повторять действия на экране</x:v>
      </x:c>
      <x:c r="E123" s="2" t="str">
        <x:v>нет</x:v>
      </x:c>
    </x:row>
    <x:row r="124" ht="26" customHeight="1">
      <x:c r="A124" s="2" t="str">
        <x:v>R123</x:v>
      </x:c>
      <x:c r="B124" s="2" t="str">
        <x:v>практика</x:v>
      </x:c>
      <x:c r="C124" s="2" t="str">
        <x:v>положительная</x:v>
      </x:c>
      <x:c r="D124" s="2" t="str">
        <x:v>Сам сделал письмо клиенту по образцу</x:v>
      </x:c>
      <x:c r="E124" s="2" t="str">
        <x:v>нет</x:v>
      </x:c>
    </x:row>
    <x:row r="125" ht="26" customHeight="1">
      <x:c r="A125" s="2" t="str">
        <x:v>R124</x:v>
      </x:c>
      <x:c r="B125" s="2" t="str">
        <x:v>доступ к сервисам</x:v>
      </x:c>
      <x:c r="C125" s="2" t="str">
        <x:v>положительная</x:v>
      </x:c>
      <x:c r="D125" s="2" t="str">
        <x:v>Получилось войти в сервис и выполнить задание</x:v>
      </x:c>
      <x:c r="E125" s="2" t="str">
        <x:v>нет</x:v>
      </x:c>
    </x:row>
    <x:row r="126" ht="26" customHeight="1">
      <x:c r="A126" s="2" t="str">
        <x:v>R125</x:v>
      </x:c>
      <x:c r="B126" s="2" t="str">
        <x:v>стоимость сервисов</x:v>
      </x:c>
      <x:c r="C126" s="2" t="str">
        <x:v>положительная</x:v>
      </x:c>
      <x:c r="D126" s="2" t="str">
        <x:v>Нашёл подходящий бесплатный инструмент</x:v>
      </x:c>
      <x:c r="E126" s="2" t="str">
        <x:v>нет</x:v>
      </x:c>
    </x:row>
    <x:row r="127" ht="26" customHeight="1">
      <x:c r="A127" s="2" t="str">
        <x:v>R126</x:v>
      </x:c>
      <x:c r="B127" s="2" t="str">
        <x:v>материалы</x:v>
      </x:c>
      <x:c r="C127" s="2" t="str">
        <x:v>положительная</x:v>
      </x:c>
      <x:c r="D127" s="2" t="str">
        <x:v>Сохранил памятку и повторил по ней шаги</x:v>
      </x:c>
      <x:c r="E127" s="2" t="str">
        <x:v>нет</x:v>
      </x:c>
    </x:row>
    <x:row r="128" ht="26" customHeight="1">
      <x:c r="A128" s="2" t="str">
        <x:v>R127</x:v>
      </x:c>
      <x:c r="B128" s="2" t="str">
        <x:v>организация</x:v>
      </x:c>
      <x:c r="C128" s="2" t="str">
        <x:v>положительная</x:v>
      </x:c>
      <x:c r="D128" s="2" t="str">
        <x:v>Ссылка пришла вовремя, звук был хороший</x:v>
      </x:c>
      <x:c r="E128" s="2" t="str">
        <x:v>нет</x:v>
      </x:c>
    </x:row>
    <x:row r="129" ht="26" customHeight="1">
      <x:c r="A129" s="2" t="str">
        <x:v>R128</x:v>
      </x:c>
      <x:c r="B129" s="2" t="str">
        <x:v>другое</x:v>
      </x:c>
      <x:c r="C129" s="2" t="str">
        <x:v>положительная</x:v>
      </x:c>
      <x:c r="D129" s="2" t="str">
        <x:v>Спасибо за занятие</x:v>
      </x:c>
      <x:c r="E129" s="2" t="str">
        <x:v>нет</x:v>
      </x:c>
    </x:row>
    <x:row r="130" ht="26" customHeight="1">
      <x:c r="A130" s="2" t="str">
        <x:v>R129</x:v>
      </x:c>
      <x:c r="B130" s="2" t="str">
        <x:v>понятность</x:v>
      </x:c>
      <x:c r="C130" s="2" t="str">
        <x:v>отрицательная</x:v>
      </x:c>
      <x:c r="D130" s="2" t="str">
        <x:v>Не понял разницу между задачей и запросом</x:v>
      </x:c>
      <x:c r="E130" s="2" t="str">
        <x:v>нет</x:v>
      </x:c>
    </x:row>
    <x:row r="131" ht="26" customHeight="1">
      <x:c r="A131" s="2" t="str">
        <x:v>R130</x:v>
      </x:c>
      <x:c r="B131" s="2" t="str">
        <x:v>темп</x:v>
      </x:c>
      <x:c r="C131" s="2" t="str">
        <x:v>отрицательная</x:v>
      </x:c>
      <x:c r="D131" s="2" t="str">
        <x:v>Слишком быстро переключались между окнами</x:v>
      </x:c>
      <x:c r="E131" s="2" t="str">
        <x:v>нет</x:v>
      </x:c>
    </x:row>
    <x:row r="132" ht="26" customHeight="1">
      <x:c r="A132" s="2" t="str">
        <x:v>R131</x:v>
      </x:c>
      <x:c r="B132" s="2" t="str">
        <x:v>практика</x:v>
      </x:c>
      <x:c r="C132" s="2" t="str">
        <x:v>отрицательная</x:v>
      </x:c>
      <x:c r="D132" s="2" t="str">
        <x:v>Не хватило самостоятельной практики</x:v>
      </x:c>
      <x:c r="E132" s="2" t="str">
        <x:v>нет</x:v>
      </x:c>
    </x:row>
    <x:row r="133" ht="26" customHeight="1">
      <x:c r="A133" s="2" t="str">
        <x:v>R132</x:v>
      </x:c>
      <x:c r="B133" s="2" t="str">
        <x:v>доступ к сервисам</x:v>
      </x:c>
      <x:c r="C133" s="2" t="str">
        <x:v>отрицательная</x:v>
      </x:c>
      <x:c r="D133" s="2" t="str">
        <x:v>Не удалось зарегистрироваться в сервисе</x:v>
      </x:c>
      <x:c r="E133" s="2" t="str">
        <x:v>нет</x:v>
      </x:c>
    </x:row>
    <x:row r="134" ht="26" customHeight="1">
      <x:c r="A134" s="2" t="str">
        <x:v>R133</x:v>
      </x:c>
      <x:c r="B134" s="2" t="str">
        <x:v>стоимость сервисов</x:v>
      </x:c>
      <x:c r="C134" s="2" t="str">
        <x:v>отрицательная</x:v>
      </x:c>
      <x:c r="D134" s="2" t="str">
        <x:v>Непонятно, какие функции требуют оплаты</x:v>
      </x:c>
      <x:c r="E134" s="2" t="str">
        <x:v>нет</x:v>
      </x:c>
    </x:row>
    <x:row r="135" ht="26" customHeight="1">
      <x:c r="A135" s="2" t="str">
        <x:v>R134</x:v>
      </x:c>
      <x:c r="B135" s="2" t="str">
        <x:v>материалы</x:v>
      </x:c>
      <x:c r="C135" s="2" t="str">
        <x:v>отрицательная</x:v>
      </x:c>
      <x:c r="D135" s="2" t="str">
        <x:v>Не нашёл файл с примером после занятия</x:v>
      </x:c>
      <x:c r="E135" s="2" t="str">
        <x:v>нет</x:v>
      </x:c>
    </x:row>
    <x:row r="136" ht="26" customHeight="1">
      <x:c r="A136" s="2" t="str">
        <x:v>R135</x:v>
      </x:c>
      <x:c r="B136" s="2" t="str">
        <x:v>организация</x:v>
      </x:c>
      <x:c r="C136" s="2" t="str">
        <x:v>отрицательная</x:v>
      </x:c>
      <x:c r="D136" s="2" t="str">
        <x:v>Не было слышно часть объяснения</x:v>
      </x:c>
      <x:c r="E136" s="2" t="str">
        <x:v>нет</x:v>
      </x:c>
    </x:row>
    <x:row r="137" ht="26" customHeight="1">
      <x:c r="A137" s="2" t="str">
        <x:v>R136</x:v>
      </x:c>
      <x:c r="B137" s="2" t="str">
        <x:v>другое</x:v>
      </x:c>
      <x:c r="C137" s="2" t="str">
        <x:v>нейтральная</x:v>
      </x:c>
      <x:c r="D137" s="2" t="str">
        <x:v>Нормально</x:v>
      </x:c>
      <x:c r="E137" s="2" t="str">
        <x:v>да</x:v>
      </x:c>
    </x:row>
    <x:row r="138" ht="26" customHeight="1">
      <x:c r="A138" s="2" t="str">
        <x:v>R137</x:v>
      </x:c>
      <x:c r="B138" s="2" t="str">
        <x:v>понятность</x:v>
      </x:c>
      <x:c r="C138" s="2" t="str">
        <x:v>смешанная</x:v>
      </x:c>
      <x:c r="D138" s="2" t="str">
        <x:v>Термины объяснили понятно, но часть шагов осталась неясной</x:v>
      </x:c>
      <x:c r="E138" s="2" t="str">
        <x:v>да</x:v>
      </x:c>
    </x:row>
    <x:row r="139" ht="26" customHeight="1">
      <x:c r="A139" s="2" t="str">
        <x:v>R138</x:v>
      </x:c>
      <x:c r="B139" s="2" t="str">
        <x:v>темп</x:v>
      </x:c>
      <x:c r="C139" s="2" t="str">
        <x:v>смешанная</x:v>
      </x:c>
      <x:c r="D139" s="2" t="str">
        <x:v>Начало шло спокойно, а конец был слишком быстрым</x:v>
      </x:c>
      <x:c r="E139" s="2" t="str">
        <x:v>да</x:v>
      </x:c>
    </x:row>
    <x:row r="140" ht="26" customHeight="1">
      <x:c r="A140" s="2" t="str">
        <x:v>R139</x:v>
      </x:c>
      <x:c r="B140" s="2" t="str">
        <x:v>практика</x:v>
      </x:c>
      <x:c r="C140" s="2" t="str">
        <x:v>смешанная</x:v>
      </x:c>
      <x:c r="D140" s="2" t="str">
        <x:v>Примеры полезные, но хочу задание для своей работы</x:v>
      </x:c>
      <x:c r="E140" s="2" t="str">
        <x:v>да</x:v>
      </x:c>
    </x:row>
    <x:row r="141" ht="26" customHeight="1">
      <x:c r="A141" s="2" t="str">
        <x:v>R140</x:v>
      </x:c>
      <x:c r="B141" s="2" t="str">
        <x:v>доступ к сервисам</x:v>
      </x:c>
      <x:c r="C141" s="2" t="str">
        <x:v>смешанная</x:v>
      </x:c>
      <x:c r="D141" s="2" t="str">
        <x:v>Сначала не смог войти, потом помог резервный способ</x:v>
      </x:c>
      <x:c r="E141" s="2" t="str">
        <x:v>да</x:v>
      </x:c>
    </x:row>
    <x:row r="142" ht="26" customHeight="1">
      <x:c r="A142" s="2" t="str">
        <x:v>R141</x:v>
      </x:c>
      <x:c r="B142" s="2" t="str">
        <x:v>стоимость сервисов</x:v>
      </x:c>
      <x:c r="C142" s="2" t="str">
        <x:v>смешанная</x:v>
      </x:c>
      <x:c r="D142" s="2" t="str">
        <x:v>Бесплатного режима хватило для примера, но дальше есть ограничения</x:v>
      </x:c>
      <x:c r="E142" s="2" t="str">
        <x:v>да</x:v>
      </x:c>
    </x:row>
    <x:row r="143" ht="26" customHeight="1">
      <x:c r="A143" s="2" t="str">
        <x:v>R142</x:v>
      </x:c>
      <x:c r="B143" s="2" t="str">
        <x:v>материалы</x:v>
      </x:c>
      <x:c r="C143" s="2" t="str">
        <x:v>смешанная</x:v>
      </x:c>
      <x:c r="D143" s="2" t="str">
        <x:v>Запись полезная, хотелось бы добавить таймкоды</x:v>
      </x:c>
      <x:c r="E143" s="2" t="str">
        <x:v>да</x:v>
      </x:c>
    </x:row>
    <x:row r="144" ht="26" customHeight="1">
      <x:c r="A144" s="2" t="str">
        <x:v>R143</x:v>
      </x:c>
      <x:c r="B144" s="2" t="str">
        <x:v>организация</x:v>
      </x:c>
      <x:c r="C144" s="2" t="str">
        <x:v>смешанная</x:v>
      </x:c>
      <x:c r="D144" s="2" t="str">
        <x:v>Подключился легко, но вопросы в чате остались без ответа</x:v>
      </x:c>
      <x:c r="E144" s="2" t="str">
        <x:v>да</x:v>
      </x:c>
    </x:row>
    <x:row r="145" ht="26" customHeight="1">
      <x:c r="A145" s="2" t="str">
        <x:v>R144</x:v>
      </x:c>
      <x:c r="B145" s="2" t="str">
        <x:v>другое</x:v>
      </x:c>
      <x:c r="C145" s="2" t="str">
        <x:v>нейтральная</x:v>
      </x:c>
      <x:c r="D145" s="2" t="str">
        <x:v>Пока не решил, где буду это применять</x:v>
      </x:c>
      <x:c r="E145" s="2" t="str">
        <x:v>да</x:v>
      </x:c>
    </x:row>
    <x:row r="146" ht="26" customHeight="1">
      <x:c r="A146" s="2" t="str">
        <x:v>R145</x:v>
      </x:c>
      <x:c r="B146" s="2" t="str">
        <x:v>понятность</x:v>
      </x:c>
      <x:c r="C146" s="2" t="str">
        <x:v>положительная</x:v>
      </x:c>
      <x:c r="D146" s="2" t="str">
        <x:v>Объяснение стало понятным после примера</x:v>
      </x:c>
      <x:c r="E146" s="2" t="str">
        <x:v>нет</x:v>
      </x:c>
    </x:row>
    <x:row r="147" ht="26" customHeight="1">
      <x:c r="A147" s="2" t="str">
        <x:v>R146</x:v>
      </x:c>
      <x:c r="B147" s="2" t="str">
        <x:v>темп</x:v>
      </x:c>
      <x:c r="C147" s="2" t="str">
        <x:v>положительная</x:v>
      </x:c>
      <x:c r="D147" s="2" t="str">
        <x:v>Успевал повторять действия на экране</x:v>
      </x:c>
      <x:c r="E147" s="2" t="str">
        <x:v>нет</x:v>
      </x:c>
    </x:row>
    <x:row r="148" ht="26" customHeight="1">
      <x:c r="A148" s="2" t="str">
        <x:v>R147</x:v>
      </x:c>
      <x:c r="B148" s="2" t="str">
        <x:v>практика</x:v>
      </x:c>
      <x:c r="C148" s="2" t="str">
        <x:v>положительная</x:v>
      </x:c>
      <x:c r="D148" s="2" t="str">
        <x:v>Сам сделал письмо клиенту по образцу</x:v>
      </x:c>
      <x:c r="E148" s="2" t="str">
        <x:v>нет</x:v>
      </x:c>
    </x:row>
    <x:row r="149" ht="26" customHeight="1">
      <x:c r="A149" s="2" t="str">
        <x:v>R148</x:v>
      </x:c>
      <x:c r="B149" s="2" t="str">
        <x:v>доступ к сервисам</x:v>
      </x:c>
      <x:c r="C149" s="2" t="str">
        <x:v>положительная</x:v>
      </x:c>
      <x:c r="D149" s="2" t="str">
        <x:v>Получилось войти в сервис и выполнить задание</x:v>
      </x:c>
      <x:c r="E149" s="2" t="str">
        <x:v>нет</x:v>
      </x:c>
    </x:row>
    <x:row r="150" ht="26" customHeight="1">
      <x:c r="A150" s="2" t="str">
        <x:v>R149</x:v>
      </x:c>
      <x:c r="B150" s="2" t="str">
        <x:v>стоимость сервисов</x:v>
      </x:c>
      <x:c r="C150" s="2" t="str">
        <x:v>положительная</x:v>
      </x:c>
      <x:c r="D150" s="2" t="str">
        <x:v>Нашёл подходящий бесплатный инструмент</x:v>
      </x:c>
      <x:c r="E150" s="2" t="str">
        <x:v>нет</x:v>
      </x:c>
    </x:row>
    <x:row r="151" ht="26" customHeight="1">
      <x:c r="A151" s="2" t="str">
        <x:v>R150</x:v>
      </x:c>
      <x:c r="B151" s="2" t="str">
        <x:v>материалы</x:v>
      </x:c>
      <x:c r="C151" s="2" t="str">
        <x:v>положительная</x:v>
      </x:c>
      <x:c r="D151" s="2" t="str">
        <x:v>Сохранил памятку и повторил по ней шаги</x:v>
      </x:c>
      <x:c r="E151" s="2" t="str">
        <x:v>нет</x:v>
      </x:c>
    </x:row>
    <x:row r="152" ht="26" customHeight="1">
      <x:c r="A152" s="2" t="str">
        <x:v>R151</x:v>
      </x:c>
      <x:c r="B152" s="2" t="str">
        <x:v>организация</x:v>
      </x:c>
      <x:c r="C152" s="2" t="str">
        <x:v>положительная</x:v>
      </x:c>
      <x:c r="D152" s="2" t="str">
        <x:v>Ссылка пришла вовремя, звук был хороший</x:v>
      </x:c>
      <x:c r="E152" s="2" t="str">
        <x:v>нет</x:v>
      </x:c>
    </x:row>
    <x:row r="153" ht="26" customHeight="1">
      <x:c r="A153" s="2" t="str">
        <x:v>R152</x:v>
      </x:c>
      <x:c r="B153" s="2" t="str">
        <x:v>другое</x:v>
      </x:c>
      <x:c r="C153" s="2" t="str">
        <x:v>положительная</x:v>
      </x:c>
      <x:c r="D153" s="2" t="str">
        <x:v>Спасибо за занятие</x:v>
      </x:c>
      <x:c r="E153" s="2" t="str">
        <x:v>нет</x:v>
      </x:c>
    </x:row>
    <x:row r="154" ht="26" customHeight="1">
      <x:c r="A154" s="2" t="str">
        <x:v>R153</x:v>
      </x:c>
      <x:c r="B154" s="2" t="str">
        <x:v>понятность</x:v>
      </x:c>
      <x:c r="C154" s="2" t="str">
        <x:v>отрицательная</x:v>
      </x:c>
      <x:c r="D154" s="2" t="str">
        <x:v>Не понял разницу между задачей и запросом</x:v>
      </x:c>
      <x:c r="E154" s="2" t="str">
        <x:v>нет</x:v>
      </x:c>
    </x:row>
    <x:row r="155" ht="26" customHeight="1">
      <x:c r="A155" s="2" t="str">
        <x:v>R154</x:v>
      </x:c>
      <x:c r="B155" s="2" t="str">
        <x:v>темп</x:v>
      </x:c>
      <x:c r="C155" s="2" t="str">
        <x:v>отрицательная</x:v>
      </x:c>
      <x:c r="D155" s="2" t="str">
        <x:v>Слишком быстро переключались между окнами</x:v>
      </x:c>
      <x:c r="E155" s="2" t="str">
        <x:v>нет</x:v>
      </x:c>
    </x:row>
    <x:row r="156" ht="26" customHeight="1">
      <x:c r="A156" s="2" t="str">
        <x:v>R155</x:v>
      </x:c>
      <x:c r="B156" s="2" t="str">
        <x:v>практика</x:v>
      </x:c>
      <x:c r="C156" s="2" t="str">
        <x:v>отрицательная</x:v>
      </x:c>
      <x:c r="D156" s="2" t="str">
        <x:v>Не хватило самостоятельной практики</x:v>
      </x:c>
      <x:c r="E156" s="2" t="str">
        <x:v>нет</x:v>
      </x:c>
    </x:row>
    <x:row r="157" ht="26" customHeight="1">
      <x:c r="A157" s="2" t="str">
        <x:v>R156</x:v>
      </x:c>
      <x:c r="B157" s="2" t="str">
        <x:v>доступ к сервисам</x:v>
      </x:c>
      <x:c r="C157" s="2" t="str">
        <x:v>отрицательная</x:v>
      </x:c>
      <x:c r="D157" s="2" t="str">
        <x:v>Не удалось зарегистрироваться в сервисе</x:v>
      </x:c>
      <x:c r="E157" s="2" t="str">
        <x:v>нет</x:v>
      </x:c>
    </x:row>
    <x:row r="158" ht="26" customHeight="1">
      <x:c r="A158" s="2" t="str">
        <x:v>R157</x:v>
      </x:c>
      <x:c r="B158" s="2" t="str">
        <x:v>стоимость сервисов</x:v>
      </x:c>
      <x:c r="C158" s="2" t="str">
        <x:v>отрицательная</x:v>
      </x:c>
      <x:c r="D158" s="2" t="str">
        <x:v>Непонятно, какие функции требуют оплаты</x:v>
      </x:c>
      <x:c r="E158" s="2" t="str">
        <x:v>нет</x:v>
      </x:c>
    </x:row>
    <x:row r="159" ht="26" customHeight="1">
      <x:c r="A159" s="2" t="str">
        <x:v>R158</x:v>
      </x:c>
      <x:c r="B159" s="2" t="str">
        <x:v>материалы</x:v>
      </x:c>
      <x:c r="C159" s="2" t="str">
        <x:v>отрицательная</x:v>
      </x:c>
      <x:c r="D159" s="2" t="str">
        <x:v>Не нашёл файл с примером после занятия</x:v>
      </x:c>
      <x:c r="E159" s="2" t="str">
        <x:v>нет</x:v>
      </x:c>
    </x:row>
    <x:row r="160" ht="26" customHeight="1">
      <x:c r="A160" s="2" t="str">
        <x:v>R159</x:v>
      </x:c>
      <x:c r="B160" s="2" t="str">
        <x:v>организация</x:v>
      </x:c>
      <x:c r="C160" s="2" t="str">
        <x:v>отрицательная</x:v>
      </x:c>
      <x:c r="D160" s="2" t="str">
        <x:v>Не было слышно часть объяснения</x:v>
      </x:c>
      <x:c r="E160" s="2" t="str">
        <x:v>нет</x:v>
      </x:c>
    </x:row>
    <x:row r="161" ht="26" customHeight="1">
      <x:c r="A161" s="2" t="str">
        <x:v>R160</x:v>
      </x:c>
      <x:c r="B161" s="2" t="str">
        <x:v>другое</x:v>
      </x:c>
      <x:c r="C161" s="2" t="str">
        <x:v>нейтральная</x:v>
      </x:c>
      <x:c r="D161" s="2" t="str">
        <x:v>Нормально</x:v>
      </x:c>
      <x:c r="E161" s="2" t="str">
        <x:v>да</x:v>
      </x:c>
    </x:row>
    <x:row r="162" ht="26" customHeight="1">
      <x:c r="A162" s="2" t="str">
        <x:v>R161</x:v>
      </x:c>
      <x:c r="B162" s="2" t="str">
        <x:v>понятность</x:v>
      </x:c>
      <x:c r="C162" s="2" t="str">
        <x:v>смешанная</x:v>
      </x:c>
      <x:c r="D162" s="2" t="str">
        <x:v>Термины объяснили понятно, но часть шагов осталась неясной</x:v>
      </x:c>
      <x:c r="E162" s="2" t="str">
        <x:v>да</x:v>
      </x:c>
    </x:row>
    <x:row r="163" ht="26" customHeight="1">
      <x:c r="A163" s="2" t="str">
        <x:v>R162</x:v>
      </x:c>
      <x:c r="B163" s="2" t="str">
        <x:v>темп</x:v>
      </x:c>
      <x:c r="C163" s="2" t="str">
        <x:v>смешанная</x:v>
      </x:c>
      <x:c r="D163" s="2" t="str">
        <x:v>Начало шло спокойно, а конец был слишком быстрым</x:v>
      </x:c>
      <x:c r="E163" s="2" t="str">
        <x:v>да</x:v>
      </x:c>
    </x:row>
    <x:row r="164" ht="26" customHeight="1">
      <x:c r="A164" s="2" t="str">
        <x:v>R163</x:v>
      </x:c>
      <x:c r="B164" s="2" t="str">
        <x:v>практика</x:v>
      </x:c>
      <x:c r="C164" s="2" t="str">
        <x:v>смешанная</x:v>
      </x:c>
      <x:c r="D164" s="2" t="str">
        <x:v>Примеры полезные, но хочу задание для своей работы</x:v>
      </x:c>
      <x:c r="E164" s="2" t="str">
        <x:v>да</x:v>
      </x:c>
    </x:row>
    <x:row r="165" ht="26" customHeight="1">
      <x:c r="A165" s="2" t="str">
        <x:v>R164</x:v>
      </x:c>
      <x:c r="B165" s="2" t="str">
        <x:v>доступ к сервисам</x:v>
      </x:c>
      <x:c r="C165" s="2" t="str">
        <x:v>смешанная</x:v>
      </x:c>
      <x:c r="D165" s="2" t="str">
        <x:v>Сначала не смог войти, потом помог резервный способ</x:v>
      </x:c>
      <x:c r="E165" s="2" t="str">
        <x:v>да</x:v>
      </x:c>
    </x:row>
    <x:row r="166" ht="26" customHeight="1">
      <x:c r="A166" s="2" t="str">
        <x:v>R165</x:v>
      </x:c>
      <x:c r="B166" s="2" t="str">
        <x:v>стоимость сервисов</x:v>
      </x:c>
      <x:c r="C166" s="2" t="str">
        <x:v>смешанная</x:v>
      </x:c>
      <x:c r="D166" s="2" t="str">
        <x:v>Бесплатного режима хватило для примера, но дальше есть ограничения</x:v>
      </x:c>
      <x:c r="E166" s="2" t="str">
        <x:v>да</x:v>
      </x:c>
    </x:row>
    <x:row r="167" ht="26" customHeight="1">
      <x:c r="A167" s="2" t="str">
        <x:v>R166</x:v>
      </x:c>
      <x:c r="B167" s="2" t="str">
        <x:v>материалы</x:v>
      </x:c>
      <x:c r="C167" s="2" t="str">
        <x:v>смешанная</x:v>
      </x:c>
      <x:c r="D167" s="2" t="str">
        <x:v>Запись полезная, хотелось бы добавить таймкоды</x:v>
      </x:c>
      <x:c r="E167" s="2" t="str">
        <x:v>да</x:v>
      </x:c>
    </x:row>
    <x:row r="168" ht="26" customHeight="1">
      <x:c r="A168" s="2" t="str">
        <x:v>R167</x:v>
      </x:c>
      <x:c r="B168" s="2" t="str">
        <x:v>организация</x:v>
      </x:c>
      <x:c r="C168" s="2" t="str">
        <x:v>смешанная</x:v>
      </x:c>
      <x:c r="D168" s="2" t="str">
        <x:v>Подключился легко, но вопросы в чате остались без ответа</x:v>
      </x:c>
      <x:c r="E168" s="2" t="str">
        <x:v>да</x:v>
      </x:c>
    </x:row>
    <x:row r="169" ht="26" customHeight="1">
      <x:c r="A169" s="2" t="str">
        <x:v>R168</x:v>
      </x:c>
      <x:c r="B169" s="2" t="str">
        <x:v>другое</x:v>
      </x:c>
      <x:c r="C169" s="2" t="str">
        <x:v>нейтральная</x:v>
      </x:c>
      <x:c r="D169" s="2" t="str">
        <x:v>Пока не решил, где буду это применять</x:v>
      </x:c>
      <x:c r="E169" s="2" t="str">
        <x:v>да</x:v>
      </x:c>
    </x:row>
    <x:row r="170" ht="26" customHeight="1">
      <x:c r="A170" s="2" t="str">
        <x:v>R169</x:v>
      </x:c>
      <x:c r="B170" s="2" t="str">
        <x:v>понятность</x:v>
      </x:c>
      <x:c r="C170" s="2" t="str">
        <x:v>положительная</x:v>
      </x:c>
      <x:c r="D170" s="2" t="str">
        <x:v>Объяснение стало понятным после примера</x:v>
      </x:c>
      <x:c r="E170" s="2" t="str">
        <x:v>нет</x:v>
      </x:c>
    </x:row>
    <x:row r="171" ht="26" customHeight="1">
      <x:c r="A171" s="2" t="str">
        <x:v>R170</x:v>
      </x:c>
      <x:c r="B171" s="2" t="str">
        <x:v>темп</x:v>
      </x:c>
      <x:c r="C171" s="2" t="str">
        <x:v>положительная</x:v>
      </x:c>
      <x:c r="D171" s="2" t="str">
        <x:v>Успевал повторять действия на экране</x:v>
      </x:c>
      <x:c r="E171" s="2" t="str">
        <x:v>нет</x:v>
      </x:c>
    </x:row>
    <x:row r="172" ht="26" customHeight="1">
      <x:c r="A172" s="2" t="str">
        <x:v>R171</x:v>
      </x:c>
      <x:c r="B172" s="2" t="str">
        <x:v>практика</x:v>
      </x:c>
      <x:c r="C172" s="2" t="str">
        <x:v>положительная</x:v>
      </x:c>
      <x:c r="D172" s="2" t="str">
        <x:v>Сам сделал письмо клиенту по образцу</x:v>
      </x:c>
      <x:c r="E172" s="2" t="str">
        <x:v>нет</x:v>
      </x:c>
    </x:row>
    <x:row r="173" ht="26" customHeight="1">
      <x:c r="A173" s="2" t="str">
        <x:v>R172</x:v>
      </x:c>
      <x:c r="B173" s="2" t="str">
        <x:v>доступ к сервисам</x:v>
      </x:c>
      <x:c r="C173" s="2" t="str">
        <x:v>положительная</x:v>
      </x:c>
      <x:c r="D173" s="2" t="str">
        <x:v>Получилось войти в сервис и выполнить задание</x:v>
      </x:c>
      <x:c r="E173" s="2" t="str">
        <x:v>нет</x:v>
      </x:c>
    </x:row>
    <x:row r="174" ht="26" customHeight="1">
      <x:c r="A174" s="2" t="str">
        <x:v>R173</x:v>
      </x:c>
      <x:c r="B174" s="2" t="str">
        <x:v>стоимость сервисов</x:v>
      </x:c>
      <x:c r="C174" s="2" t="str">
        <x:v>положительная</x:v>
      </x:c>
      <x:c r="D174" s="2" t="str">
        <x:v>Нашёл подходящий бесплатный инструмент</x:v>
      </x:c>
      <x:c r="E174" s="2" t="str">
        <x:v>нет</x:v>
      </x:c>
    </x:row>
    <x:row r="175" ht="26" customHeight="1">
      <x:c r="A175" s="2" t="str">
        <x:v>R174</x:v>
      </x:c>
      <x:c r="B175" s="2" t="str">
        <x:v>материалы</x:v>
      </x:c>
      <x:c r="C175" s="2" t="str">
        <x:v>положительная</x:v>
      </x:c>
      <x:c r="D175" s="2" t="str">
        <x:v>Сохранил памятку и повторил по ней шаги</x:v>
      </x:c>
      <x:c r="E175" s="2" t="str">
        <x:v>нет</x:v>
      </x:c>
    </x:row>
    <x:row r="176" ht="26" customHeight="1">
      <x:c r="A176" s="2" t="str">
        <x:v>R175</x:v>
      </x:c>
      <x:c r="B176" s="2" t="str">
        <x:v>организация</x:v>
      </x:c>
      <x:c r="C176" s="2" t="str">
        <x:v>положительная</x:v>
      </x:c>
      <x:c r="D176" s="2" t="str">
        <x:v>Ссылка пришла вовремя, звук был хороший</x:v>
      </x:c>
      <x:c r="E176" s="2" t="str">
        <x:v>нет</x:v>
      </x:c>
    </x:row>
    <x:row r="177" ht="26" customHeight="1">
      <x:c r="A177" s="2" t="str">
        <x:v>R176</x:v>
      </x:c>
      <x:c r="B177" s="2" t="str">
        <x:v>другое</x:v>
      </x:c>
      <x:c r="C177" s="2" t="str">
        <x:v>положительная</x:v>
      </x:c>
      <x:c r="D177" s="2" t="str">
        <x:v>Спасибо за занятие</x:v>
      </x:c>
      <x:c r="E177" s="2" t="str">
        <x:v>нет</x:v>
      </x:c>
    </x:row>
    <x:row r="178" ht="26" customHeight="1">
      <x:c r="A178" s="2" t="str">
        <x:v>R177</x:v>
      </x:c>
      <x:c r="B178" s="2" t="str">
        <x:v>понятность</x:v>
      </x:c>
      <x:c r="C178" s="2" t="str">
        <x:v>отрицательная</x:v>
      </x:c>
      <x:c r="D178" s="2" t="str">
        <x:v>Не понял разницу между задачей и запросом</x:v>
      </x:c>
      <x:c r="E178" s="2" t="str">
        <x:v>нет</x:v>
      </x:c>
    </x:row>
    <x:row r="179" ht="26" customHeight="1">
      <x:c r="A179" s="2" t="str">
        <x:v>R178</x:v>
      </x:c>
      <x:c r="B179" s="2" t="str">
        <x:v>темп</x:v>
      </x:c>
      <x:c r="C179" s="2" t="str">
        <x:v>отрицательная</x:v>
      </x:c>
      <x:c r="D179" s="2" t="str">
        <x:v>Слишком быстро переключались между окнами</x:v>
      </x:c>
      <x:c r="E179" s="2" t="str">
        <x:v>нет</x:v>
      </x:c>
    </x:row>
    <x:row r="180" ht="26" customHeight="1">
      <x:c r="A180" s="2" t="str">
        <x:v>R179</x:v>
      </x:c>
      <x:c r="B180" s="2" t="str">
        <x:v>практика</x:v>
      </x:c>
      <x:c r="C180" s="2" t="str">
        <x:v>отрицательная</x:v>
      </x:c>
      <x:c r="D180" s="2" t="str">
        <x:v>Не хватило самостоятельной практики</x:v>
      </x:c>
      <x:c r="E180" s="2" t="str">
        <x:v>нет</x:v>
      </x:c>
    </x:row>
    <x:row r="181" ht="26" customHeight="1">
      <x:c r="A181" s="2" t="str">
        <x:v>R180</x:v>
      </x:c>
      <x:c r="B181" s="2" t="str">
        <x:v>доступ к сервисам</x:v>
      </x:c>
      <x:c r="C181" s="2" t="str">
        <x:v>отрицательная</x:v>
      </x:c>
      <x:c r="D181" s="2" t="str">
        <x:v>Не удалось зарегистрироваться в сервисе</x:v>
      </x:c>
      <x:c r="E181" s="2" t="str">
        <x:v>нет</x:v>
      </x:c>
    </x:row>
    <x:row r="182" ht="26" customHeight="1">
      <x:c r="A182" s="2" t="str">
        <x:v>R181</x:v>
      </x:c>
      <x:c r="B182" s="2" t="str">
        <x:v>стоимость сервисов</x:v>
      </x:c>
      <x:c r="C182" s="2" t="str">
        <x:v>отрицательная</x:v>
      </x:c>
      <x:c r="D182" s="2" t="str">
        <x:v>Непонятно, какие функции требуют оплаты</x:v>
      </x:c>
      <x:c r="E182" s="2" t="str">
        <x:v>нет</x:v>
      </x:c>
    </x:row>
    <x:row r="183" ht="26" customHeight="1">
      <x:c r="A183" s="2" t="str">
        <x:v>R182</x:v>
      </x:c>
      <x:c r="B183" s="2" t="str">
        <x:v>материалы</x:v>
      </x:c>
      <x:c r="C183" s="2" t="str">
        <x:v>отрицательная</x:v>
      </x:c>
      <x:c r="D183" s="2" t="str">
        <x:v>Не нашёл файл с примером после занятия</x:v>
      </x:c>
      <x:c r="E183" s="2" t="str">
        <x:v>нет</x:v>
      </x:c>
    </x:row>
    <x:row r="184" ht="26" customHeight="1">
      <x:c r="A184" s="2" t="str">
        <x:v>R183</x:v>
      </x:c>
      <x:c r="B184" s="2" t="str">
        <x:v>организация</x:v>
      </x:c>
      <x:c r="C184" s="2" t="str">
        <x:v>отрицательная</x:v>
      </x:c>
      <x:c r="D184" s="2" t="str">
        <x:v>Не было слышно часть объяснения</x:v>
      </x:c>
      <x:c r="E184" s="2" t="str">
        <x:v>нет</x:v>
      </x:c>
    </x:row>
    <x:row r="185" ht="26" customHeight="1">
      <x:c r="A185" s="2" t="str">
        <x:v>R184</x:v>
      </x:c>
      <x:c r="B185" s="2" t="str">
        <x:v>другое</x:v>
      </x:c>
      <x:c r="C185" s="2" t="str">
        <x:v>нейтральная</x:v>
      </x:c>
      <x:c r="D185" s="2" t="str">
        <x:v>Нормально</x:v>
      </x:c>
      <x:c r="E185" s="2" t="str">
        <x:v>да</x:v>
      </x:c>
    </x:row>
    <x:row r="186" ht="26" customHeight="1">
      <x:c r="A186" s="2" t="str">
        <x:v>R185</x:v>
      </x:c>
      <x:c r="B186" s="2" t="str">
        <x:v>понятность</x:v>
      </x:c>
      <x:c r="C186" s="2" t="str">
        <x:v>смешанная</x:v>
      </x:c>
      <x:c r="D186" s="2" t="str">
        <x:v>Термины объяснили понятно, но часть шагов осталась неясной</x:v>
      </x:c>
      <x:c r="E186" s="2" t="str">
        <x:v>да</x:v>
      </x:c>
    </x:row>
    <x:row r="187" ht="26" customHeight="1">
      <x:c r="A187" s="2" t="str">
        <x:v>R186</x:v>
      </x:c>
      <x:c r="B187" s="2" t="str">
        <x:v>темп</x:v>
      </x:c>
      <x:c r="C187" s="2" t="str">
        <x:v>смешанная</x:v>
      </x:c>
      <x:c r="D187" s="2" t="str">
        <x:v>Начало шло спокойно, а конец был слишком быстрым</x:v>
      </x:c>
      <x:c r="E187" s="2" t="str">
        <x:v>да</x:v>
      </x:c>
    </x:row>
    <x:row r="188" ht="26" customHeight="1">
      <x:c r="A188" s="2" t="str">
        <x:v>R187</x:v>
      </x:c>
      <x:c r="B188" s="2" t="str">
        <x:v>практика</x:v>
      </x:c>
      <x:c r="C188" s="2" t="str">
        <x:v>смешанная</x:v>
      </x:c>
      <x:c r="D188" s="2" t="str">
        <x:v>Примеры полезные, но хочу задание для своей работы</x:v>
      </x:c>
      <x:c r="E188" s="2" t="str">
        <x:v>да</x:v>
      </x:c>
    </x:row>
    <x:row r="189" ht="26" customHeight="1">
      <x:c r="A189" s="2" t="str">
        <x:v>R188</x:v>
      </x:c>
      <x:c r="B189" s="2" t="str">
        <x:v>доступ к сервисам</x:v>
      </x:c>
      <x:c r="C189" s="2" t="str">
        <x:v>смешанная</x:v>
      </x:c>
      <x:c r="D189" s="2" t="str">
        <x:v>Сначала не смог войти, потом помог резервный способ</x:v>
      </x:c>
      <x:c r="E189" s="2" t="str">
        <x:v>да</x:v>
      </x:c>
    </x:row>
    <x:row r="190" ht="26" customHeight="1">
      <x:c r="A190" s="2" t="str">
        <x:v>R189</x:v>
      </x:c>
      <x:c r="B190" s="2" t="str">
        <x:v>стоимость сервисов</x:v>
      </x:c>
      <x:c r="C190" s="2" t="str">
        <x:v>смешанная</x:v>
      </x:c>
      <x:c r="D190" s="2" t="str">
        <x:v>Бесплатного режима хватило для примера, но дальше есть ограничения</x:v>
      </x:c>
      <x:c r="E190" s="2" t="str">
        <x:v>да</x:v>
      </x:c>
    </x:row>
    <x:row r="191" ht="26" customHeight="1">
      <x:c r="A191" s="2" t="str">
        <x:v>R190</x:v>
      </x:c>
      <x:c r="B191" s="2" t="str">
        <x:v>материалы</x:v>
      </x:c>
      <x:c r="C191" s="2" t="str">
        <x:v>смешанная</x:v>
      </x:c>
      <x:c r="D191" s="2" t="str">
        <x:v>Запись полезная, хотелось бы добавить таймкоды</x:v>
      </x:c>
      <x:c r="E191" s="2" t="str">
        <x:v>да</x:v>
      </x:c>
    </x:row>
    <x:row r="192" ht="26" customHeight="1">
      <x:c r="A192" s="2" t="str">
        <x:v>R191</x:v>
      </x:c>
      <x:c r="B192" s="2" t="str">
        <x:v>организация</x:v>
      </x:c>
      <x:c r="C192" s="2" t="str">
        <x:v>смешанная</x:v>
      </x:c>
      <x:c r="D192" s="2" t="str">
        <x:v>Подключился легко, но вопросы в чате остались без ответа</x:v>
      </x:c>
      <x:c r="E192" s="2" t="str">
        <x:v>да</x:v>
      </x:c>
    </x:row>
    <x:row r="193" ht="26" customHeight="1">
      <x:c r="A193" s="2" t="str">
        <x:v>R192</x:v>
      </x:c>
      <x:c r="B193" s="2" t="str">
        <x:v>другое</x:v>
      </x:c>
      <x:c r="C193" s="2" t="str">
        <x:v>нейтральная</x:v>
      </x:c>
      <x:c r="D193" s="2" t="str">
        <x:v>Пока не решил, где буду это применять</x:v>
      </x:c>
      <x:c r="E193" s="2" t="str">
        <x:v>да</x:v>
      </x:c>
    </x:row>
    <x:row r="194" ht="26" customHeight="1">
      <x:c r="A194" s="2" t="str">
        <x:v>R193</x:v>
      </x:c>
      <x:c r="B194" s="2" t="str">
        <x:v>понятность</x:v>
      </x:c>
      <x:c r="C194" s="2" t="str">
        <x:v>положительная</x:v>
      </x:c>
      <x:c r="D194" s="2" t="str">
        <x:v>Объяснение стало понятным после примера</x:v>
      </x:c>
      <x:c r="E194" s="2" t="str">
        <x:v>нет</x:v>
      </x:c>
    </x:row>
    <x:row r="195" ht="26" customHeight="1">
      <x:c r="A195" s="2" t="str">
        <x:v>R194</x:v>
      </x:c>
      <x:c r="B195" s="2" t="str">
        <x:v>темп</x:v>
      </x:c>
      <x:c r="C195" s="2" t="str">
        <x:v>положительная</x:v>
      </x:c>
      <x:c r="D195" s="2" t="str">
        <x:v>Успевал повторять действия на экране</x:v>
      </x:c>
      <x:c r="E195" s="2" t="str">
        <x:v>нет</x:v>
      </x:c>
    </x:row>
    <x:row r="196" ht="26" customHeight="1">
      <x:c r="A196" s="2" t="str">
        <x:v>R195</x:v>
      </x:c>
      <x:c r="B196" s="2" t="str">
        <x:v>практика</x:v>
      </x:c>
      <x:c r="C196" s="2" t="str">
        <x:v>положительная</x:v>
      </x:c>
      <x:c r="D196" s="2" t="str">
        <x:v>Сам сделал письмо клиенту по образцу</x:v>
      </x:c>
      <x:c r="E196" s="2" t="str">
        <x:v>нет</x:v>
      </x:c>
    </x:row>
    <x:row r="197" ht="26" customHeight="1">
      <x:c r="A197" s="2" t="str">
        <x:v>R196</x:v>
      </x:c>
      <x:c r="B197" s="2" t="str">
        <x:v>доступ к сервисам</x:v>
      </x:c>
      <x:c r="C197" s="2" t="str">
        <x:v>положительная</x:v>
      </x:c>
      <x:c r="D197" s="2" t="str">
        <x:v>Получилось войти в сервис и выполнить задание</x:v>
      </x:c>
      <x:c r="E197" s="2" t="str">
        <x:v>нет</x:v>
      </x:c>
    </x:row>
    <x:row r="198" ht="26" customHeight="1">
      <x:c r="A198" s="2" t="str">
        <x:v>R197</x:v>
      </x:c>
      <x:c r="B198" s="2" t="str">
        <x:v>стоимость сервисов</x:v>
      </x:c>
      <x:c r="C198" s="2" t="str">
        <x:v>положительная</x:v>
      </x:c>
      <x:c r="D198" s="2" t="str">
        <x:v>Нашёл подходящий бесплатный инструмент</x:v>
      </x:c>
      <x:c r="E198" s="2" t="str">
        <x:v>нет</x:v>
      </x:c>
    </x:row>
    <x:row r="199" ht="26" customHeight="1">
      <x:c r="A199" s="2" t="str">
        <x:v>R198</x:v>
      </x:c>
      <x:c r="B199" s="2" t="str">
        <x:v>материалы</x:v>
      </x:c>
      <x:c r="C199" s="2" t="str">
        <x:v>положительная</x:v>
      </x:c>
      <x:c r="D199" s="2" t="str">
        <x:v>Сохранил памятку и повторил по ней шаги</x:v>
      </x:c>
      <x:c r="E199" s="2" t="str">
        <x:v>нет</x:v>
      </x:c>
    </x:row>
    <x:row r="200" ht="26" customHeight="1">
      <x:c r="A200" s="2" t="str">
        <x:v>R199</x:v>
      </x:c>
      <x:c r="B200" s="2" t="str">
        <x:v>организация</x:v>
      </x:c>
      <x:c r="C200" s="2" t="str">
        <x:v>положительная</x:v>
      </x:c>
      <x:c r="D200" s="2" t="str">
        <x:v>Ссылка пришла вовремя, звук был хороший</x:v>
      </x:c>
      <x:c r="E200" s="2" t="str">
        <x:v>нет</x:v>
      </x:c>
    </x:row>
    <x:row r="201" ht="26" customHeight="1">
      <x:c r="A201" s="2" t="str">
        <x:v>R200</x:v>
      </x:c>
      <x:c r="B201" s="2" t="str">
        <x:v>другое</x:v>
      </x:c>
      <x:c r="C201" s="2" t="str">
        <x:v>положительная</x:v>
      </x:c>
      <x:c r="D201" s="2" t="str">
        <x:v>Спасибо за занятие</x:v>
      </x:c>
      <x:c r="E201" s="2" t="str">
        <x:v>нет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FF6B00"/>
  </x:sheetPr>
  <x:sheetViews>
    <x:sheetView showGridLines="0" workbookViewId="0"/>
  </x:sheetViews>
  <x:sheetFormatPr defaultRowHeight="15"/>
  <x:cols>
    <x:col min="1" max="1" width="40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34" customHeight="1">
      <x:c r="A1" s="6" t="str">
        <x:v>Показатель</x:v>
      </x:c>
      <x:c r="B1" s="6" t="str">
        <x:v>Результат</x:v>
      </x:c>
      <x:c r="C1" s="6" t="str">
        <x:v>Числитель</x:v>
      </x:c>
      <x:c r="D1" s="6" t="str">
        <x:v>Знаменатель</x:v>
      </x:c>
    </x:row>
    <x:row r="2" ht="26" customHeight="1">
      <x:c r="A2" s="2"/>
      <x:c r="B2" s="2"/>
      <x:c r="C2" s="2"/>
      <x:c r="D2" s="2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19212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8" hidden="0" customWidth="1"/>
    <x:col min="2" max="2" width="24" hidden="0" customWidth="1"/>
    <x:col min="3" max="3" width="26" hidden="0" customWidth="1"/>
    <x:col min="4" max="4" width="24" hidden="0" customWidth="1"/>
    <x:col min="5" max="5" width="5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34" customHeight="1">
      <x:c r="A1" s="6" t="str">
        <x:v>Обратная связь</x:v>
      </x:c>
      <x:c r="B1" s="6" t="str">
        <x:v>Учебные данные · 200 анкет</x:v>
      </x:c>
      <x:c r="C1" s="6"/>
      <x:c r="D1" s="6"/>
    </x:row>
    <x:row r="2" ht="26" customHeight="1">
      <x:c r="A2" s="2"/>
      <x:c r="B2" s="2"/>
      <x:c r="C2" s="2"/>
      <x:c r="D2" s="2"/>
    </x:row>
    <x:row r="3" ht="26" customHeight="1">
      <x:c r="A3" s="2" t="str">
        <x:v>Показатель</x:v>
      </x:c>
      <x:c r="B3" s="2" t="str">
        <x:v>Результат</x:v>
      </x:c>
      <x:c r="C3" s="2" t="str">
        <x:v>Числитель</x:v>
      </x:c>
      <x:c r="D3" s="2" t="str">
        <x:v>Знаменатель</x:v>
      </x:c>
    </x:row>
    <x:row r="4" ht="26" customHeight="1">
      <x:c r="A4" s="2" t="str">
        <x:v>Число анкет</x:v>
      </x:c>
      <x:c r="B4" s="2" t="n">
        <x:f>COUNTA('04_Отзывы'!A2:A201)</x:f>
        <x:v>200</x:v>
      </x:c>
      <x:c r="C4" s="2"/>
      <x:c r="D4" s="2"/>
    </x:row>
    <x:row r="5" ht="26" customHeight="1">
      <x:c r="A5" s="2" t="str">
        <x:v>Допустимые оценки</x:v>
      </x:c>
      <x:c r="B5" s="2" t="n">
        <x:f>COUNT(B23:B222)</x:f>
        <x:v>196</x:v>
      </x:c>
      <x:c r="C5" s="2"/>
      <x:c r="D5" s="2"/>
    </x:row>
    <x:row r="6" ht="26" customHeight="1">
      <x:c r="A6" s="2" t="str">
        <x:v>Средняя оценка</x:v>
      </x:c>
      <x:c r="B6" s="27" t="n">
        <x:f>IF(B5=0,"нет данных",AVERAGE(B23:B222))</x:f>
        <x:v>3.561224489795918</x:v>
      </x:c>
      <x:c r="C6" s="2"/>
      <x:c r="D6" s="2"/>
    </x:row>
    <x:row r="7" ht="26" customHeight="1">
      <x:c r="A7" s="2" t="str">
        <x:v>Доля оценок 4–5</x:v>
      </x:c>
      <x:c r="B7" s="28" t="n">
        <x:f>IF(B5=0,"нет данных",C7/D7)</x:f>
        <x:v>0.47959183673469385</x:v>
      </x:c>
      <x:c r="C7" s="2" t="n">
        <x:f>COUNTIF(B23:B222,"&gt;=4")</x:f>
        <x:v>94</x:v>
      </x:c>
      <x:c r="D7" s="2" t="n">
        <x:f>B5</x:f>
        <x:v>196</x:v>
      </x:c>
    </x:row>
    <x:row r="8" ht="26" customHeight="1">
      <x:c r="A8" s="2" t="str">
        <x:v>Доля рекомендаций «да»</x:v>
      </x:c>
      <x:c r="B8" s="28" t="n">
        <x:f>IF(D8=0,"нет данных",C8/D8)</x:f>
        <x:v>0.4720812182741117</x:v>
      </x:c>
      <x:c r="C8" s="2" t="n">
        <x:f>SUM(C23:C222)</x:f>
        <x:v>93</x:v>
      </x:c>
      <x:c r="D8" s="2" t="n">
        <x:f>COUNT(C23:C222)</x:f>
        <x:v>197</x:v>
      </x:c>
    </x:row>
    <x:row r="9" ht="26" customHeight="1">
      <x:c r="A9" s="2" t="str">
        <x:v>Некорректные / пропущенные оценки</x:v>
      </x:c>
      <x:c r="B9" s="2" t="n">
        <x:f>B4-B5</x:f>
        <x:v>4</x:v>
      </x:c>
      <x:c r="C9" s="2"/>
      <x:c r="D9" s="2"/>
    </x:row>
    <x:row r="10" ht="26" customHeight="1">
      <x:c r="A10" s="2" t="str">
        <x:v>Некорректные / пропущенные рекомендации</x:v>
      </x:c>
      <x:c r="B10" s="2" t="n">
        <x:f>B4-D8</x:f>
        <x:v>3</x:v>
      </x:c>
      <x:c r="C10" s="2"/>
      <x:c r="D10" s="2"/>
    </x:row>
    <x:row r="11" ht="26" customHeight="1">
      <x:c r="A11" s="2"/>
      <x:c r="B11" s="2"/>
      <x:c r="C11" s="2"/>
      <x:c r="D11" s="2"/>
    </x:row>
    <x:row r="12" ht="26" customHeight="1">
      <x:c r="A12" s="2" t="str">
        <x:v>Тема</x:v>
      </x:c>
      <x:c r="B12" s="2" t="str">
        <x:v>Число отзывов</x:v>
      </x:c>
      <x:c r="C12" s="2"/>
      <x:c r="D12" s="2"/>
    </x:row>
    <x:row r="13" ht="26" customHeight="1">
      <x:c r="A13" s="2" t="str">
        <x:v>понятность</x:v>
      </x:c>
      <x:c r="B13" s="2" t="n">
        <x:f>COUNTIF('06_Разметка_готово'!B2:B201,A13)</x:f>
        <x:v>25</x:v>
      </x:c>
      <x:c r="C13" s="2"/>
      <x:c r="D13" s="2"/>
    </x:row>
    <x:row r="14" ht="26" customHeight="1">
      <x:c r="A14" s="2" t="str">
        <x:v>темп</x:v>
      </x:c>
      <x:c r="B14" s="2" t="n">
        <x:f>COUNTIF('06_Разметка_готово'!B2:B201,A14)</x:f>
        <x:v>25</x:v>
      </x:c>
      <x:c r="C14" s="2"/>
      <x:c r="D14" s="2"/>
    </x:row>
    <x:row r="15" ht="26" customHeight="1">
      <x:c r="A15" s="2" t="str">
        <x:v>практика</x:v>
      </x:c>
      <x:c r="B15" s="2" t="n">
        <x:f>COUNTIF('06_Разметка_готово'!B2:B201,A15)</x:f>
        <x:v>25</x:v>
      </x:c>
      <x:c r="C15" s="2"/>
      <x:c r="D15" s="2"/>
    </x:row>
    <x:row r="16" ht="26" customHeight="1">
      <x:c r="A16" s="2" t="str">
        <x:v>доступ к сервисам</x:v>
      </x:c>
      <x:c r="B16" s="2" t="n">
        <x:f>COUNTIF('06_Разметка_готово'!B2:B201,A16)</x:f>
        <x:v>25</x:v>
      </x:c>
      <x:c r="C16" s="2"/>
      <x:c r="D16" s="2"/>
    </x:row>
    <x:row r="17" ht="26" customHeight="1">
      <x:c r="A17" s="2" t="str">
        <x:v>стоимость сервисов</x:v>
      </x:c>
      <x:c r="B17" s="2" t="n">
        <x:f>COUNTIF('06_Разметка_готово'!B2:B201,A17)</x:f>
        <x:v>25</x:v>
      </x:c>
      <x:c r="C17" s="2"/>
      <x:c r="D17" s="2"/>
    </x:row>
    <x:row r="18" ht="26" customHeight="1">
      <x:c r="A18" s="2" t="str">
        <x:v>материалы</x:v>
      </x:c>
      <x:c r="B18" s="2" t="n">
        <x:f>COUNTIF('06_Разметка_готово'!B2:B201,A18)</x:f>
        <x:v>25</x:v>
      </x:c>
      <x:c r="C18" s="2"/>
      <x:c r="D18" s="2"/>
    </x:row>
    <x:row r="19" ht="26" customHeight="1">
      <x:c r="A19" s="2" t="str">
        <x:v>организация</x:v>
      </x:c>
      <x:c r="B19" s="2" t="n">
        <x:f>COUNTIF('06_Разметка_готово'!B2:B201,A19)</x:f>
        <x:v>25</x:v>
      </x:c>
      <x:c r="C19" s="2"/>
      <x:c r="D19" s="2"/>
    </x:row>
    <x:row r="20" ht="26" customHeight="1">
      <x:c r="A20" s="2" t="str">
        <x:v>другое</x:v>
      </x:c>
      <x:c r="B20" s="2" t="n">
        <x:f>COUNTIF('06_Разметка_готово'!B2:B201,A20)</x:f>
        <x:v>25</x:v>
      </x:c>
      <x:c r="C20" s="2"/>
      <x:c r="D20" s="2"/>
    </x:row>
    <x:row r="21" ht="26" customHeight="1">
      <x:c r="A21" s="2"/>
      <x:c r="B21" s="2"/>
      <x:c r="C21" s="2"/>
      <x:c r="D21" s="2"/>
    </x:row>
    <x:row r="22" ht="26" customHeight="1">
      <x:c r="A22" s="2" t="str">
        <x:v>ID</x:v>
      </x:c>
      <x:c r="B22" s="2" t="str">
        <x:v>Допустимая оценка</x:v>
      </x:c>
      <x:c r="C22" s="2" t="str">
        <x:v>Рекомендация 0/1</x:v>
      </x:c>
      <x:c r="D22" s="2"/>
    </x:row>
    <x:row r="23" ht="26" customHeight="1">
      <x:c r="A23" s="2" t="str">
        <x:v>R001</x:v>
      </x:c>
      <x:c r="B23" s="2" t="n">
        <x:f>IF(ISNUMBER('04_Отзывы'!E2),IF(AND('04_Отзывы'!E2&gt;=1,'04_Отзывы'!E2&lt;=5,MOD('04_Отзывы'!E2,1)=0),'04_Отзывы'!E2,""),"")</x:f>
        <x:v>5</x:v>
      </x:c>
      <x:c r="C23" s="2" t="n">
        <x:f>IF('04_Отзывы'!F2="да",1,IF('04_Отзывы'!F2="нет",0,""))</x:f>
        <x:v>1</x:v>
      </x:c>
      <x:c r="D23" s="2"/>
    </x:row>
    <x:row r="24" ht="26" customHeight="1">
      <x:c r="A24" s="2" t="str">
        <x:v>R002</x:v>
      </x:c>
      <x:c r="B24" s="2" t="n">
        <x:f>IF(ISNUMBER('04_Отзывы'!E3),IF(AND('04_Отзывы'!E3&gt;=1,'04_Отзывы'!E3&lt;=5,MOD('04_Отзывы'!E3,1)=0),'04_Отзывы'!E3,""),"")</x:f>
        <x:v>5</x:v>
      </x:c>
      <x:c r="C24" s="2" t="n">
        <x:f>IF('04_Отзывы'!F3="да",1,IF('04_Отзывы'!F3="нет",0,""))</x:f>
        <x:v>1</x:v>
      </x:c>
      <x:c r="D24" s="2"/>
    </x:row>
    <x:row r="25" ht="26" customHeight="1">
      <x:c r="A25" s="2" t="str">
        <x:v>R003</x:v>
      </x:c>
      <x:c r="B25" s="2" t="n">
        <x:f>IF(ISNUMBER('04_Отзывы'!E4),IF(AND('04_Отзывы'!E4&gt;=1,'04_Отзывы'!E4&lt;=5,MOD('04_Отзывы'!E4,1)=0),'04_Отзывы'!E4,""),"")</x:f>
        <x:v>5</x:v>
      </x:c>
      <x:c r="C25" s="2" t="n">
        <x:f>IF('04_Отзывы'!F4="да",1,IF('04_Отзывы'!F4="нет",0,""))</x:f>
        <x:v>1</x:v>
      </x:c>
      <x:c r="D25" s="2"/>
    </x:row>
    <x:row r="26" ht="26" customHeight="1">
      <x:c r="A26" s="2" t="str">
        <x:v>R004</x:v>
      </x:c>
      <x:c r="B26" s="2" t="n">
        <x:f>IF(ISNUMBER('04_Отзывы'!E5),IF(AND('04_Отзывы'!E5&gt;=1,'04_Отзывы'!E5&lt;=5,MOD('04_Отзывы'!E5,1)=0),'04_Отзывы'!E5,""),"")</x:f>
        <x:v>5</x:v>
      </x:c>
      <x:c r="C26" s="2" t="n">
        <x:f>IF('04_Отзывы'!F5="да",1,IF('04_Отзывы'!F5="нет",0,""))</x:f>
        <x:v>1</x:v>
      </x:c>
      <x:c r="D26" s="2"/>
    </x:row>
    <x:row r="27" ht="26" customHeight="1">
      <x:c r="A27" s="2" t="str">
        <x:v>R005</x:v>
      </x:c>
      <x:c r="B27" s="2" t="n">
        <x:f>IF(ISNUMBER('04_Отзывы'!E6),IF(AND('04_Отзывы'!E6&gt;=1,'04_Отзывы'!E6&lt;=5,MOD('04_Отзывы'!E6,1)=0),'04_Отзывы'!E6,""),"")</x:f>
        <x:v>5</x:v>
      </x:c>
      <x:c r="C27" s="2" t="n">
        <x:f>IF('04_Отзывы'!F6="да",1,IF('04_Отзывы'!F6="нет",0,""))</x:f>
        <x:v>1</x:v>
      </x:c>
      <x:c r="D27" s="2"/>
    </x:row>
    <x:row r="28" ht="26" customHeight="1">
      <x:c r="A28" s="2" t="str">
        <x:v>R006</x:v>
      </x:c>
      <x:c r="B28" s="2" t="n">
        <x:f>IF(ISNUMBER('04_Отзывы'!E7),IF(AND('04_Отзывы'!E7&gt;=1,'04_Отзывы'!E7&lt;=5,MOD('04_Отзывы'!E7,1)=0),'04_Отзывы'!E7,""),"")</x:f>
        <x:v>5</x:v>
      </x:c>
      <x:c r="C28" s="2" t="n">
        <x:f>IF('04_Отзывы'!F7="да",1,IF('04_Отзывы'!F7="нет",0,""))</x:f>
        <x:v>1</x:v>
      </x:c>
      <x:c r="D28" s="2"/>
    </x:row>
    <x:row r="29" ht="26" customHeight="1">
      <x:c r="A29" s="2" t="str">
        <x:v>R007</x:v>
      </x:c>
      <x:c r="B29" s="2" t="n">
        <x:f>IF(ISNUMBER('04_Отзывы'!E8),IF(AND('04_Отзывы'!E8&gt;=1,'04_Отзывы'!E8&lt;=5,MOD('04_Отзывы'!E8,1)=0),'04_Отзывы'!E8,""),"")</x:f>
        <x:v>5</x:v>
      </x:c>
      <x:c r="C29" s="2" t="n">
        <x:f>IF('04_Отзывы'!F8="да",1,IF('04_Отзывы'!F8="нет",0,""))</x:f>
        <x:v>1</x:v>
      </x:c>
      <x:c r="D29" s="2"/>
    </x:row>
    <x:row r="30" ht="26" customHeight="1">
      <x:c r="A30" s="2" t="str">
        <x:v>R008</x:v>
      </x:c>
      <x:c r="B30" s="2" t="n">
        <x:f>IF(ISNUMBER('04_Отзывы'!E9),IF(AND('04_Отзывы'!E9&gt;=1,'04_Отзывы'!E9&lt;=5,MOD('04_Отзывы'!E9,1)=0),'04_Отзывы'!E9,""),"")</x:f>
        <x:v>5</x:v>
      </x:c>
      <x:c r="C30" s="2" t="n">
        <x:f>IF('04_Отзывы'!F9="да",1,IF('04_Отзывы'!F9="нет",0,""))</x:f>
        <x:v>1</x:v>
      </x:c>
      <x:c r="D30" s="2"/>
    </x:row>
    <x:row r="31" ht="26" customHeight="1">
      <x:c r="A31" s="2" t="str">
        <x:v>R009</x:v>
      </x:c>
      <x:c r="B31" s="2" t="n">
        <x:f>IF(ISNUMBER('04_Отзывы'!E10),IF(AND('04_Отзывы'!E10&gt;=1,'04_Отзывы'!E10&lt;=5,MOD('04_Отзывы'!E10,1)=0),'04_Отзывы'!E10,""),"")</x:f>
        <x:v>2</x:v>
      </x:c>
      <x:c r="C31" s="2" t="n">
        <x:f>IF('04_Отзывы'!F10="да",1,IF('04_Отзывы'!F10="нет",0,""))</x:f>
        <x:v>0</x:v>
      </x:c>
      <x:c r="D31" s="2"/>
    </x:row>
    <x:row r="32" ht="26" customHeight="1">
      <x:c r="A32" s="2" t="str">
        <x:v>R010</x:v>
      </x:c>
      <x:c r="B32" s="2" t="n">
        <x:f>IF(ISNUMBER('04_Отзывы'!E11),IF(AND('04_Отзывы'!E11&gt;=1,'04_Отзывы'!E11&lt;=5,MOD('04_Отзывы'!E11,1)=0),'04_Отзывы'!E11,""),"")</x:f>
        <x:v>2</x:v>
      </x:c>
      <x:c r="C32" s="2" t="n">
        <x:f>IF('04_Отзывы'!F11="да",1,IF('04_Отзывы'!F11="нет",0,""))</x:f>
        <x:v>0</x:v>
      </x:c>
      <x:c r="D32" s="2"/>
    </x:row>
    <x:row r="33" ht="26" customHeight="1">
      <x:c r="A33" s="2" t="str">
        <x:v>R011</x:v>
      </x:c>
      <x:c r="B33" s="2" t="n">
        <x:f>IF(ISNUMBER('04_Отзывы'!E12),IF(AND('04_Отзывы'!E12&gt;=1,'04_Отзывы'!E12&lt;=5,MOD('04_Отзывы'!E12,1)=0),'04_Отзывы'!E12,""),"")</x:f>
        <x:v>2</x:v>
      </x:c>
      <x:c r="C33" s="2" t="n">
        <x:f>IF('04_Отзывы'!F12="да",1,IF('04_Отзывы'!F12="нет",0,""))</x:f>
        <x:v>0</x:v>
      </x:c>
      <x:c r="D33" s="2"/>
    </x:row>
    <x:row r="34" ht="26" customHeight="1">
      <x:c r="A34" s="2" t="str">
        <x:v>R012</x:v>
      </x:c>
      <x:c r="B34" s="2" t="n">
        <x:f>IF(ISNUMBER('04_Отзывы'!E13),IF(AND('04_Отзывы'!E13&gt;=1,'04_Отзывы'!E13&lt;=5,MOD('04_Отзывы'!E13,1)=0),'04_Отзывы'!E13,""),"")</x:f>
        <x:v>2</x:v>
      </x:c>
      <x:c r="C34" s="2" t="n">
        <x:f>IF('04_Отзывы'!F13="да",1,IF('04_Отзывы'!F13="нет",0,""))</x:f>
        <x:v>0</x:v>
      </x:c>
      <x:c r="D34" s="2"/>
    </x:row>
    <x:row r="35" ht="26" customHeight="1">
      <x:c r="A35" s="2" t="str">
        <x:v>R013</x:v>
      </x:c>
      <x:c r="B35" s="2" t="n">
        <x:f>IF(ISNUMBER('04_Отзывы'!E14),IF(AND('04_Отзывы'!E14&gt;=1,'04_Отзывы'!E14&lt;=5,MOD('04_Отзывы'!E14,1)=0),'04_Отзывы'!E14,""),"")</x:f>
        <x:v>2</x:v>
      </x:c>
      <x:c r="C35" s="2" t="n">
        <x:f>IF('04_Отзывы'!F14="да",1,IF('04_Отзывы'!F14="нет",0,""))</x:f>
        <x:v>0</x:v>
      </x:c>
      <x:c r="D35" s="2"/>
    </x:row>
    <x:row r="36" ht="26" customHeight="1">
      <x:c r="A36" s="2" t="str">
        <x:v>R014</x:v>
      </x:c>
      <x:c r="B36" s="2" t="n">
        <x:f>IF(ISNUMBER('04_Отзывы'!E15),IF(AND('04_Отзывы'!E15&gt;=1,'04_Отзывы'!E15&lt;=5,MOD('04_Отзывы'!E15,1)=0),'04_Отзывы'!E15,""),"")</x:f>
        <x:v>2</x:v>
      </x:c>
      <x:c r="C36" s="2" t="n">
        <x:f>IF('04_Отзывы'!F15="да",1,IF('04_Отзывы'!F15="нет",0,""))</x:f>
        <x:v>0</x:v>
      </x:c>
      <x:c r="D36" s="2"/>
    </x:row>
    <x:row r="37" ht="26" customHeight="1">
      <x:c r="A37" s="2" t="str">
        <x:v>R015</x:v>
      </x:c>
      <x:c r="B37" s="2" t="n">
        <x:f>IF(ISNUMBER('04_Отзывы'!E16),IF(AND('04_Отзывы'!E16&gt;=1,'04_Отзывы'!E16&lt;=5,MOD('04_Отзывы'!E16,1)=0),'04_Отзывы'!E16,""),"")</x:f>
        <x:v>2</x:v>
      </x:c>
      <x:c r="C37" s="2" t="n">
        <x:f>IF('04_Отзывы'!F16="да",1,IF('04_Отзывы'!F16="нет",0,""))</x:f>
        <x:v>0</x:v>
      </x:c>
      <x:c r="D37" s="2"/>
    </x:row>
    <x:row r="38" ht="26" customHeight="1">
      <x:c r="A38" s="2" t="str">
        <x:v>R016</x:v>
      </x:c>
      <x:c r="B38" s="2" t="n">
        <x:f>IF(ISNUMBER('04_Отзывы'!E17),IF(AND('04_Отзывы'!E17&gt;=1,'04_Отзывы'!E17&lt;=5,MOD('04_Отзывы'!E17,1)=0),'04_Отзывы'!E17,""),"")</x:f>
        <x:v>3</x:v>
      </x:c>
      <x:c r="C38" s="2" t="n">
        <x:f>IF('04_Отзывы'!F17="да",1,IF('04_Отзывы'!F17="нет",0,""))</x:f>
        <x:v>0</x:v>
      </x:c>
      <x:c r="D38" s="2"/>
    </x:row>
    <x:row r="39" ht="26" customHeight="1">
      <x:c r="A39" s="2" t="str">
        <x:v>R017</x:v>
      </x:c>
      <x:c r="B39" s="2" t="n">
        <x:f>IF(ISNUMBER('04_Отзывы'!E18),IF(AND('04_Отзывы'!E18&gt;=1,'04_Отзывы'!E18&lt;=5,MOD('04_Отзывы'!E18,1)=0),'04_Отзывы'!E18,""),"")</x:f>
        <x:v>3</x:v>
      </x:c>
      <x:c r="C39" s="2" t="n">
        <x:f>IF('04_Отзывы'!F18="да",1,IF('04_Отзывы'!F18="нет",0,""))</x:f>
        <x:v>0</x:v>
      </x:c>
      <x:c r="D39" s="2"/>
    </x:row>
    <x:row r="40" ht="26" customHeight="1">
      <x:c r="A40" s="2" t="str">
        <x:v>R018</x:v>
      </x:c>
      <x:c r="B40" s="2" t="n">
        <x:f>IF(ISNUMBER('04_Отзывы'!E19),IF(AND('04_Отзывы'!E19&gt;=1,'04_Отзывы'!E19&lt;=5,MOD('04_Отзывы'!E19,1)=0),'04_Отзывы'!E19,""),"")</x:f>
        <x:v>3</x:v>
      </x:c>
      <x:c r="C40" s="2" t="n">
        <x:f>IF('04_Отзывы'!F19="да",1,IF('04_Отзывы'!F19="нет",0,""))</x:f>
        <x:v>0</x:v>
      </x:c>
      <x:c r="D40" s="2"/>
    </x:row>
    <x:row r="41" ht="26" customHeight="1">
      <x:c r="A41" s="2" t="str">
        <x:v>R019</x:v>
      </x:c>
      <x:c r="B41" s="2" t="n">
        <x:f>IF(ISNUMBER('04_Отзывы'!E20),IF(AND('04_Отзывы'!E20&gt;=1,'04_Отзывы'!E20&lt;=5,MOD('04_Отзывы'!E20,1)=0),'04_Отзывы'!E20,""),"")</x:f>
        <x:v>4</x:v>
      </x:c>
      <x:c r="C41" s="2" t="n">
        <x:f>IF('04_Отзывы'!F20="да",1,IF('04_Отзывы'!F20="нет",0,""))</x:f>
        <x:v>1</x:v>
      </x:c>
      <x:c r="D41" s="2"/>
    </x:row>
    <x:row r="42" ht="26" customHeight="1">
      <x:c r="A42" s="2" t="str">
        <x:v>R020</x:v>
      </x:c>
      <x:c r="B42" s="2" t="n">
        <x:f>IF(ISNUMBER('04_Отзывы'!E21),IF(AND('04_Отзывы'!E21&gt;=1,'04_Отзывы'!E21&lt;=5,MOD('04_Отзывы'!E21,1)=0),'04_Отзывы'!E21,""),"")</x:f>
        <x:v>4</x:v>
      </x:c>
      <x:c r="C42" s="2" t="n">
        <x:f>IF('04_Отзывы'!F21="да",1,IF('04_Отзывы'!F21="нет",0,""))</x:f>
        <x:v>1</x:v>
      </x:c>
      <x:c r="D42" s="2"/>
    </x:row>
    <x:row r="43" ht="26" customHeight="1">
      <x:c r="A43" s="2" t="str">
        <x:v>R021</x:v>
      </x:c>
      <x:c r="B43" s="2" t="n">
        <x:f>IF(ISNUMBER('04_Отзывы'!E22),IF(AND('04_Отзывы'!E22&gt;=1,'04_Отзывы'!E22&lt;=5,MOD('04_Отзывы'!E22,1)=0),'04_Отзывы'!E22,""),"")</x:f>
        <x:v>3</x:v>
      </x:c>
      <x:c r="C43" s="2" t="n">
        <x:f>IF('04_Отзывы'!F22="да",1,IF('04_Отзывы'!F22="нет",0,""))</x:f>
        <x:v>0</x:v>
      </x:c>
      <x:c r="D43" s="2"/>
    </x:row>
    <x:row r="44" ht="26" customHeight="1">
      <x:c r="A44" s="2" t="str">
        <x:v>R022</x:v>
      </x:c>
      <x:c r="B44" s="2" t="n">
        <x:f>IF(ISNUMBER('04_Отзывы'!E23),IF(AND('04_Отзывы'!E23&gt;=1,'04_Отзывы'!E23&lt;=5,MOD('04_Отзывы'!E23,1)=0),'04_Отзывы'!E23,""),"")</x:f>
        <x:v>4</x:v>
      </x:c>
      <x:c r="C44" s="2" t="n">
        <x:f>IF('04_Отзывы'!F23="да",1,IF('04_Отзывы'!F23="нет",0,""))</x:f>
        <x:v>1</x:v>
      </x:c>
      <x:c r="D44" s="2"/>
    </x:row>
    <x:row r="45" ht="26" customHeight="1">
      <x:c r="A45" s="2" t="str">
        <x:v>R023</x:v>
      </x:c>
      <x:c r="B45" s="2" t="n">
        <x:f>IF(ISNUMBER('04_Отзывы'!E24),IF(AND('04_Отзывы'!E24&gt;=1,'04_Отзывы'!E24&lt;=5,MOD('04_Отзывы'!E24,1)=0),'04_Отзывы'!E24,""),"")</x:f>
        <x:v>3</x:v>
      </x:c>
      <x:c r="C45" s="2" t="n">
        <x:f>IF('04_Отзывы'!F24="да",1,IF('04_Отзывы'!F24="нет",0,""))</x:f>
        <x:v>0</x:v>
      </x:c>
      <x:c r="D45" s="2"/>
    </x:row>
    <x:row r="46" ht="26" customHeight="1">
      <x:c r="A46" s="2" t="str">
        <x:v>R024</x:v>
      </x:c>
      <x:c r="B46" s="2" t="n">
        <x:f>IF(ISNUMBER('04_Отзывы'!E25),IF(AND('04_Отзывы'!E25&gt;=1,'04_Отзывы'!E25&lt;=5,MOD('04_Отзывы'!E25,1)=0),'04_Отзывы'!E25,""),"")</x:f>
        <x:v>3</x:v>
      </x:c>
      <x:c r="C46" s="2" t="n">
        <x:f>IF('04_Отзывы'!F25="да",1,IF('04_Отзывы'!F25="нет",0,""))</x:f>
        <x:v>0</x:v>
      </x:c>
      <x:c r="D46" s="2"/>
    </x:row>
    <x:row r="47" ht="26" customHeight="1">
      <x:c r="A47" s="2" t="str">
        <x:v>R025</x:v>
      </x:c>
      <x:c r="B47" s="2" t="n">
        <x:f>IF(ISNUMBER('04_Отзывы'!E26),IF(AND('04_Отзывы'!E26&gt;=1,'04_Отзывы'!E26&lt;=5,MOD('04_Отзывы'!E26,1)=0),'04_Отзывы'!E26,""),"")</x:f>
        <x:v>5</x:v>
      </x:c>
      <x:c r="C47" s="2" t="n">
        <x:f>IF('04_Отзывы'!F26="да",1,IF('04_Отзывы'!F26="нет",0,""))</x:f>
        <x:v>1</x:v>
      </x:c>
      <x:c r="D47" s="2"/>
    </x:row>
    <x:row r="48" ht="26" customHeight="1">
      <x:c r="A48" s="2" t="str">
        <x:v>R026</x:v>
      </x:c>
      <x:c r="B48" s="2" t="n">
        <x:f>IF(ISNUMBER('04_Отзывы'!E27),IF(AND('04_Отзывы'!E27&gt;=1,'04_Отзывы'!E27&lt;=5,MOD('04_Отзывы'!E27,1)=0),'04_Отзывы'!E27,""),"")</x:f>
        <x:v>5</x:v>
      </x:c>
      <x:c r="C48" s="2" t="n">
        <x:f>IF('04_Отзывы'!F27="да",1,IF('04_Отзывы'!F27="нет",0,""))</x:f>
        <x:v>1</x:v>
      </x:c>
      <x:c r="D48" s="2"/>
    </x:row>
    <x:row r="49" ht="26" customHeight="1">
      <x:c r="A49" s="2" t="str">
        <x:v>R027</x:v>
      </x:c>
      <x:c r="B49" s="2" t="n">
        <x:f>IF(ISNUMBER('04_Отзывы'!E28),IF(AND('04_Отзывы'!E28&gt;=1,'04_Отзывы'!E28&lt;=5,MOD('04_Отзывы'!E28,1)=0),'04_Отзывы'!E28,""),"")</x:f>
        <x:v>5</x:v>
      </x:c>
      <x:c r="C49" s="2" t="n">
        <x:f>IF('04_Отзывы'!F28="да",1,IF('04_Отзывы'!F28="нет",0,""))</x:f>
        <x:v>1</x:v>
      </x:c>
      <x:c r="D49" s="2"/>
    </x:row>
    <x:row r="50" ht="26" customHeight="1">
      <x:c r="A50" s="2" t="str">
        <x:v>R028</x:v>
      </x:c>
      <x:c r="B50" s="2" t="n">
        <x:f>IF(ISNUMBER('04_Отзывы'!E29),IF(AND('04_Отзывы'!E29&gt;=1,'04_Отзывы'!E29&lt;=5,MOD('04_Отзывы'!E29,1)=0),'04_Отзывы'!E29,""),"")</x:f>
        <x:v>5</x:v>
      </x:c>
      <x:c r="C50" s="2" t="n">
        <x:f>IF('04_Отзывы'!F29="да",1,IF('04_Отзывы'!F29="нет",0,""))</x:f>
        <x:v>1</x:v>
      </x:c>
      <x:c r="D50" s="2"/>
    </x:row>
    <x:row r="51" ht="26" customHeight="1">
      <x:c r="A51" s="2" t="str">
        <x:v>R029</x:v>
      </x:c>
      <x:c r="B51" s="2" t="n">
        <x:f>IF(ISNUMBER('04_Отзывы'!E30),IF(AND('04_Отзывы'!E30&gt;=1,'04_Отзывы'!E30&lt;=5,MOD('04_Отзывы'!E30,1)=0),'04_Отзывы'!E30,""),"")</x:f>
        <x:v>5</x:v>
      </x:c>
      <x:c r="C51" s="2" t="n">
        <x:f>IF('04_Отзывы'!F30="да",1,IF('04_Отзывы'!F30="нет",0,""))</x:f>
        <x:v>1</x:v>
      </x:c>
      <x:c r="D51" s="2"/>
    </x:row>
    <x:row r="52" ht="26" customHeight="1">
      <x:c r="A52" s="2" t="str">
        <x:v>R030</x:v>
      </x:c>
      <x:c r="B52" s="2" t="n">
        <x:f>IF(ISNUMBER('04_Отзывы'!E31),IF(AND('04_Отзывы'!E31&gt;=1,'04_Отзывы'!E31&lt;=5,MOD('04_Отзывы'!E31,1)=0),'04_Отзывы'!E31,""),"")</x:f>
        <x:v>5</x:v>
      </x:c>
      <x:c r="C52" s="2" t="n">
        <x:f>IF('04_Отзывы'!F31="да",1,IF('04_Отзывы'!F31="нет",0,""))</x:f>
        <x:v>1</x:v>
      </x:c>
      <x:c r="D52" s="2"/>
    </x:row>
    <x:row r="53" ht="26" customHeight="1">
      <x:c r="A53" s="2" t="str">
        <x:v>R031</x:v>
      </x:c>
      <x:c r="B53" s="2" t="n">
        <x:f>IF(ISNUMBER('04_Отзывы'!E32),IF(AND('04_Отзывы'!E32&gt;=1,'04_Отзывы'!E32&lt;=5,MOD('04_Отзывы'!E32,1)=0),'04_Отзывы'!E32,""),"")</x:f>
        <x:v>5</x:v>
      </x:c>
      <x:c r="C53" s="2" t="str">
        <x:f>IF('04_Отзывы'!F32="да",1,IF('04_Отзывы'!F32="нет",0,""))</x:f>
      </x:c>
      <x:c r="D53" s="2"/>
    </x:row>
    <x:row r="54" ht="26" customHeight="1">
      <x:c r="A54" s="2" t="str">
        <x:v>R032</x:v>
      </x:c>
      <x:c r="B54" s="2" t="n">
        <x:f>IF(ISNUMBER('04_Отзывы'!E33),IF(AND('04_Отзывы'!E33&gt;=1,'04_Отзывы'!E33&lt;=5,MOD('04_Отзывы'!E33,1)=0),'04_Отзывы'!E33,""),"")</x:f>
        <x:v>5</x:v>
      </x:c>
      <x:c r="C54" s="2" t="n">
        <x:f>IF('04_Отзывы'!F33="да",1,IF('04_Отзывы'!F33="нет",0,""))</x:f>
        <x:v>1</x:v>
      </x:c>
      <x:c r="D54" s="2"/>
    </x:row>
    <x:row r="55" ht="26" customHeight="1">
      <x:c r="A55" s="2" t="str">
        <x:v>R033</x:v>
      </x:c>
      <x:c r="B55" s="2" t="n">
        <x:f>IF(ISNUMBER('04_Отзывы'!E34),IF(AND('04_Отзывы'!E34&gt;=1,'04_Отзывы'!E34&lt;=5,MOD('04_Отзывы'!E34,1)=0),'04_Отзывы'!E34,""),"")</x:f>
        <x:v>2</x:v>
      </x:c>
      <x:c r="C55" s="2" t="n">
        <x:f>IF('04_Отзывы'!F34="да",1,IF('04_Отзывы'!F34="нет",0,""))</x:f>
        <x:v>0</x:v>
      </x:c>
      <x:c r="D55" s="2"/>
    </x:row>
    <x:row r="56" ht="26" customHeight="1">
      <x:c r="A56" s="2" t="str">
        <x:v>R034</x:v>
      </x:c>
      <x:c r="B56" s="2" t="n">
        <x:f>IF(ISNUMBER('04_Отзывы'!E35),IF(AND('04_Отзывы'!E35&gt;=1,'04_Отзывы'!E35&lt;=5,MOD('04_Отзывы'!E35,1)=0),'04_Отзывы'!E35,""),"")</x:f>
        <x:v>2</x:v>
      </x:c>
      <x:c r="C56" s="2" t="n">
        <x:f>IF('04_Отзывы'!F35="да",1,IF('04_Отзывы'!F35="нет",0,""))</x:f>
        <x:v>0</x:v>
      </x:c>
      <x:c r="D56" s="2"/>
    </x:row>
    <x:row r="57" ht="26" customHeight="1">
      <x:c r="A57" s="2" t="str">
        <x:v>R035</x:v>
      </x:c>
      <x:c r="B57" s="2" t="n">
        <x:f>IF(ISNUMBER('04_Отзывы'!E36),IF(AND('04_Отзывы'!E36&gt;=1,'04_Отзывы'!E36&lt;=5,MOD('04_Отзывы'!E36,1)=0),'04_Отзывы'!E36,""),"")</x:f>
        <x:v>2</x:v>
      </x:c>
      <x:c r="C57" s="2" t="n">
        <x:f>IF('04_Отзывы'!F36="да",1,IF('04_Отзывы'!F36="нет",0,""))</x:f>
        <x:v>0</x:v>
      </x:c>
      <x:c r="D57" s="2"/>
    </x:row>
    <x:row r="58" ht="26" customHeight="1">
      <x:c r="A58" s="2" t="str">
        <x:v>R036</x:v>
      </x:c>
      <x:c r="B58" s="2" t="n">
        <x:f>IF(ISNUMBER('04_Отзывы'!E37),IF(AND('04_Отзывы'!E37&gt;=1,'04_Отзывы'!E37&lt;=5,MOD('04_Отзывы'!E37,1)=0),'04_Отзывы'!E37,""),"")</x:f>
        <x:v>2</x:v>
      </x:c>
      <x:c r="C58" s="2" t="n">
        <x:f>IF('04_Отзывы'!F37="да",1,IF('04_Отзывы'!F37="нет",0,""))</x:f>
        <x:v>0</x:v>
      </x:c>
      <x:c r="D58" s="2"/>
    </x:row>
    <x:row r="59" ht="26" customHeight="1">
      <x:c r="A59" s="2" t="str">
        <x:v>R037</x:v>
      </x:c>
      <x:c r="B59" s="2" t="n">
        <x:f>IF(ISNUMBER('04_Отзывы'!E38),IF(AND('04_Отзывы'!E38&gt;=1,'04_Отзывы'!E38&lt;=5,MOD('04_Отзывы'!E38,1)=0),'04_Отзывы'!E38,""),"")</x:f>
        <x:v>2</x:v>
      </x:c>
      <x:c r="C59" s="2" t="n">
        <x:f>IF('04_Отзывы'!F38="да",1,IF('04_Отзывы'!F38="нет",0,""))</x:f>
        <x:v>0</x:v>
      </x:c>
      <x:c r="D59" s="2"/>
    </x:row>
    <x:row r="60" ht="26" customHeight="1">
      <x:c r="A60" s="2" t="str">
        <x:v>R038</x:v>
      </x:c>
      <x:c r="B60" s="2" t="n">
        <x:f>IF(ISNUMBER('04_Отзывы'!E39),IF(AND('04_Отзывы'!E39&gt;=1,'04_Отзывы'!E39&lt;=5,MOD('04_Отзывы'!E39,1)=0),'04_Отзывы'!E39,""),"")</x:f>
        <x:v>2</x:v>
      </x:c>
      <x:c r="C60" s="2" t="n">
        <x:f>IF('04_Отзывы'!F39="да",1,IF('04_Отзывы'!F39="нет",0,""))</x:f>
        <x:v>0</x:v>
      </x:c>
      <x:c r="D60" s="2"/>
    </x:row>
    <x:row r="61" ht="26" customHeight="1">
      <x:c r="A61" s="2" t="str">
        <x:v>R039</x:v>
      </x:c>
      <x:c r="B61" s="2" t="n">
        <x:f>IF(ISNUMBER('04_Отзывы'!E40),IF(AND('04_Отзывы'!E40&gt;=1,'04_Отзывы'!E40&lt;=5,MOD('04_Отзывы'!E40,1)=0),'04_Отзывы'!E40,""),"")</x:f>
        <x:v>2</x:v>
      </x:c>
      <x:c r="C61" s="2" t="n">
        <x:f>IF('04_Отзывы'!F40="да",1,IF('04_Отзывы'!F40="нет",0,""))</x:f>
        <x:v>0</x:v>
      </x:c>
      <x:c r="D61" s="2"/>
    </x:row>
    <x:row r="62" ht="26" customHeight="1">
      <x:c r="A62" s="2" t="str">
        <x:v>R040</x:v>
      </x:c>
      <x:c r="B62" s="2" t="n">
        <x:f>IF(ISNUMBER('04_Отзывы'!E41),IF(AND('04_Отзывы'!E41&gt;=1,'04_Отзывы'!E41&lt;=5,MOD('04_Отзывы'!E41,1)=0),'04_Отзывы'!E41,""),"")</x:f>
        <x:v>3</x:v>
      </x:c>
      <x:c r="C62" s="2" t="n">
        <x:f>IF('04_Отзывы'!F41="да",1,IF('04_Отзывы'!F41="нет",0,""))</x:f>
        <x:v>0</x:v>
      </x:c>
      <x:c r="D62" s="2"/>
    </x:row>
    <x:row r="63" ht="26" customHeight="1">
      <x:c r="A63" s="2" t="str">
        <x:v>R041</x:v>
      </x:c>
      <x:c r="B63" s="2" t="n">
        <x:f>IF(ISNUMBER('04_Отзывы'!E42),IF(AND('04_Отзывы'!E42&gt;=1,'04_Отзывы'!E42&lt;=5,MOD('04_Отзывы'!E42,1)=0),'04_Отзывы'!E42,""),"")</x:f>
        <x:v>3</x:v>
      </x:c>
      <x:c r="C63" s="2" t="n">
        <x:f>IF('04_Отзывы'!F42="да",1,IF('04_Отзывы'!F42="нет",0,""))</x:f>
        <x:v>0</x:v>
      </x:c>
      <x:c r="D63" s="2"/>
    </x:row>
    <x:row r="64" ht="26" customHeight="1">
      <x:c r="A64" s="2" t="str">
        <x:v>R042</x:v>
      </x:c>
      <x:c r="B64" s="2" t="n">
        <x:f>IF(ISNUMBER('04_Отзывы'!E43),IF(AND('04_Отзывы'!E43&gt;=1,'04_Отзывы'!E43&lt;=5,MOD('04_Отзывы'!E43,1)=0),'04_Отзывы'!E43,""),"")</x:f>
        <x:v>3</x:v>
      </x:c>
      <x:c r="C64" s="2" t="n">
        <x:f>IF('04_Отзывы'!F43="да",1,IF('04_Отзывы'!F43="нет",0,""))</x:f>
        <x:v>0</x:v>
      </x:c>
      <x:c r="D64" s="2"/>
    </x:row>
    <x:row r="65" ht="26" customHeight="1">
      <x:c r="A65" s="2" t="str">
        <x:v>R043</x:v>
      </x:c>
      <x:c r="B65" s="2" t="n">
        <x:f>IF(ISNUMBER('04_Отзывы'!E44),IF(AND('04_Отзывы'!E44&gt;=1,'04_Отзывы'!E44&lt;=5,MOD('04_Отзывы'!E44,1)=0),'04_Отзывы'!E44,""),"")</x:f>
        <x:v>4</x:v>
      </x:c>
      <x:c r="C65" s="2" t="n">
        <x:f>IF('04_Отзывы'!F44="да",1,IF('04_Отзывы'!F44="нет",0,""))</x:f>
        <x:v>1</x:v>
      </x:c>
      <x:c r="D65" s="2"/>
    </x:row>
    <x:row r="66" ht="26" customHeight="1">
      <x:c r="A66" s="2" t="str">
        <x:v>R044</x:v>
      </x:c>
      <x:c r="B66" s="2" t="n">
        <x:f>IF(ISNUMBER('04_Отзывы'!E45),IF(AND('04_Отзывы'!E45&gt;=1,'04_Отзывы'!E45&lt;=5,MOD('04_Отзывы'!E45,1)=0),'04_Отзывы'!E45,""),"")</x:f>
        <x:v>4</x:v>
      </x:c>
      <x:c r="C66" s="2" t="n">
        <x:f>IF('04_Отзывы'!F45="да",1,IF('04_Отзывы'!F45="нет",0,""))</x:f>
        <x:v>1</x:v>
      </x:c>
      <x:c r="D66" s="2"/>
    </x:row>
    <x:row r="67" ht="26" customHeight="1">
      <x:c r="A67" s="2" t="str">
        <x:v>R045</x:v>
      </x:c>
      <x:c r="B67" s="2" t="n">
        <x:f>IF(ISNUMBER('04_Отзывы'!E46),IF(AND('04_Отзывы'!E46&gt;=1,'04_Отзывы'!E46&lt;=5,MOD('04_Отзывы'!E46,1)=0),'04_Отзывы'!E46,""),"")</x:f>
        <x:v>3</x:v>
      </x:c>
      <x:c r="C67" s="2" t="n">
        <x:f>IF('04_Отзывы'!F46="да",1,IF('04_Отзывы'!F46="нет",0,""))</x:f>
        <x:v>0</x:v>
      </x:c>
      <x:c r="D67" s="2"/>
    </x:row>
    <x:row r="68" ht="26" customHeight="1">
      <x:c r="A68" s="2" t="str">
        <x:v>R046</x:v>
      </x:c>
      <x:c r="B68" s="2" t="n">
        <x:f>IF(ISNUMBER('04_Отзывы'!E47),IF(AND('04_Отзывы'!E47&gt;=1,'04_Отзывы'!E47&lt;=5,MOD('04_Отзывы'!E47,1)=0),'04_Отзывы'!E47,""),"")</x:f>
        <x:v>4</x:v>
      </x:c>
      <x:c r="C68" s="2" t="n">
        <x:f>IF('04_Отзывы'!F47="да",1,IF('04_Отзывы'!F47="нет",0,""))</x:f>
        <x:v>1</x:v>
      </x:c>
      <x:c r="D68" s="2"/>
    </x:row>
    <x:row r="69" ht="26" customHeight="1">
      <x:c r="A69" s="2" t="str">
        <x:v>R047</x:v>
      </x:c>
      <x:c r="B69" s="2" t="n">
        <x:f>IF(ISNUMBER('04_Отзывы'!E48),IF(AND('04_Отзывы'!E48&gt;=1,'04_Отзывы'!E48&lt;=5,MOD('04_Отзывы'!E48,1)=0),'04_Отзывы'!E48,""),"")</x:f>
        <x:v>3</x:v>
      </x:c>
      <x:c r="C69" s="2" t="n">
        <x:f>IF('04_Отзывы'!F48="да",1,IF('04_Отзывы'!F48="нет",0,""))</x:f>
        <x:v>0</x:v>
      </x:c>
      <x:c r="D69" s="2"/>
    </x:row>
    <x:row r="70" ht="26" customHeight="1">
      <x:c r="A70" s="2" t="str">
        <x:v>R048</x:v>
      </x:c>
      <x:c r="B70" s="2" t="n">
        <x:f>IF(ISNUMBER('04_Отзывы'!E49),IF(AND('04_Отзывы'!E49&gt;=1,'04_Отзывы'!E49&lt;=5,MOD('04_Отзывы'!E49,1)=0),'04_Отзывы'!E49,""),"")</x:f>
        <x:v>3</x:v>
      </x:c>
      <x:c r="C70" s="2" t="n">
        <x:f>IF('04_Отзывы'!F49="да",1,IF('04_Отзывы'!F49="нет",0,""))</x:f>
        <x:v>0</x:v>
      </x:c>
      <x:c r="D70" s="2"/>
    </x:row>
    <x:row r="71" ht="26" customHeight="1">
      <x:c r="A71" s="2" t="str">
        <x:v>R049</x:v>
      </x:c>
      <x:c r="B71" s="2" t="n">
        <x:f>IF(ISNUMBER('04_Отзывы'!E50),IF(AND('04_Отзывы'!E50&gt;=1,'04_Отзывы'!E50&lt;=5,MOD('04_Отзывы'!E50,1)=0),'04_Отзывы'!E50,""),"")</x:f>
        <x:v>5</x:v>
      </x:c>
      <x:c r="C71" s="2" t="n">
        <x:f>IF('04_Отзывы'!F50="да",1,IF('04_Отзывы'!F50="нет",0,""))</x:f>
        <x:v>1</x:v>
      </x:c>
      <x:c r="D71" s="2"/>
    </x:row>
    <x:row r="72" ht="26" customHeight="1">
      <x:c r="A72" s="2" t="str">
        <x:v>R050</x:v>
      </x:c>
      <x:c r="B72" s="2" t="n">
        <x:f>IF(ISNUMBER('04_Отзывы'!E51),IF(AND('04_Отзывы'!E51&gt;=1,'04_Отзывы'!E51&lt;=5,MOD('04_Отзывы'!E51,1)=0),'04_Отзывы'!E51,""),"")</x:f>
        <x:v>5</x:v>
      </x:c>
      <x:c r="C72" s="2" t="n">
        <x:f>IF('04_Отзывы'!F51="да",1,IF('04_Отзывы'!F51="нет",0,""))</x:f>
        <x:v>1</x:v>
      </x:c>
      <x:c r="D72" s="2"/>
    </x:row>
    <x:row r="73" ht="26" customHeight="1">
      <x:c r="A73" s="2" t="str">
        <x:v>R051</x:v>
      </x:c>
      <x:c r="B73" s="2" t="str">
        <x:f>IF(ISNUMBER('04_Отзывы'!E52),IF(AND('04_Отзывы'!E52&gt;=1,'04_Отзывы'!E52&lt;=5,MOD('04_Отзывы'!E52,1)=0),'04_Отзывы'!E52,""),"")</x:f>
      </x:c>
      <x:c r="C73" s="2" t="n">
        <x:f>IF('04_Отзывы'!F52="да",1,IF('04_Отзывы'!F52="нет",0,""))</x:f>
        <x:v>1</x:v>
      </x:c>
      <x:c r="D73" s="2"/>
    </x:row>
    <x:row r="74" ht="26" customHeight="1">
      <x:c r="A74" s="2" t="str">
        <x:v>R052</x:v>
      </x:c>
      <x:c r="B74" s="2" t="n">
        <x:f>IF(ISNUMBER('04_Отзывы'!E53),IF(AND('04_Отзывы'!E53&gt;=1,'04_Отзывы'!E53&lt;=5,MOD('04_Отзывы'!E53,1)=0),'04_Отзывы'!E53,""),"")</x:f>
        <x:v>5</x:v>
      </x:c>
      <x:c r="C74" s="2" t="n">
        <x:f>IF('04_Отзывы'!F53="да",1,IF('04_Отзывы'!F53="нет",0,""))</x:f>
        <x:v>1</x:v>
      </x:c>
      <x:c r="D74" s="2"/>
    </x:row>
    <x:row r="75" ht="26" customHeight="1">
      <x:c r="A75" s="2" t="str">
        <x:v>R053</x:v>
      </x:c>
      <x:c r="B75" s="2" t="n">
        <x:f>IF(ISNUMBER('04_Отзывы'!E54),IF(AND('04_Отзывы'!E54&gt;=1,'04_Отзывы'!E54&lt;=5,MOD('04_Отзывы'!E54,1)=0),'04_Отзывы'!E54,""),"")</x:f>
        <x:v>5</x:v>
      </x:c>
      <x:c r="C75" s="2" t="n">
        <x:f>IF('04_Отзывы'!F54="да",1,IF('04_Отзывы'!F54="нет",0,""))</x:f>
        <x:v>1</x:v>
      </x:c>
      <x:c r="D75" s="2"/>
    </x:row>
    <x:row r="76" ht="26" customHeight="1">
      <x:c r="A76" s="2" t="str">
        <x:v>R054</x:v>
      </x:c>
      <x:c r="B76" s="2" t="n">
        <x:f>IF(ISNUMBER('04_Отзывы'!E55),IF(AND('04_Отзывы'!E55&gt;=1,'04_Отзывы'!E55&lt;=5,MOD('04_Отзывы'!E55,1)=0),'04_Отзывы'!E55,""),"")</x:f>
        <x:v>5</x:v>
      </x:c>
      <x:c r="C76" s="2" t="n">
        <x:f>IF('04_Отзывы'!F55="да",1,IF('04_Отзывы'!F55="нет",0,""))</x:f>
        <x:v>1</x:v>
      </x:c>
      <x:c r="D76" s="2"/>
    </x:row>
    <x:row r="77" ht="26" customHeight="1">
      <x:c r="A77" s="2" t="str">
        <x:v>R055</x:v>
      </x:c>
      <x:c r="B77" s="2" t="n">
        <x:f>IF(ISNUMBER('04_Отзывы'!E56),IF(AND('04_Отзывы'!E56&gt;=1,'04_Отзывы'!E56&lt;=5,MOD('04_Отзывы'!E56,1)=0),'04_Отзывы'!E56,""),"")</x:f>
        <x:v>5</x:v>
      </x:c>
      <x:c r="C77" s="2" t="n">
        <x:f>IF('04_Отзывы'!F56="да",1,IF('04_Отзывы'!F56="нет",0,""))</x:f>
        <x:v>1</x:v>
      </x:c>
      <x:c r="D77" s="2"/>
    </x:row>
    <x:row r="78" ht="26" customHeight="1">
      <x:c r="A78" s="2" t="str">
        <x:v>R056</x:v>
      </x:c>
      <x:c r="B78" s="2" t="n">
        <x:f>IF(ISNUMBER('04_Отзывы'!E57),IF(AND('04_Отзывы'!E57&gt;=1,'04_Отзывы'!E57&lt;=5,MOD('04_Отзывы'!E57,1)=0),'04_Отзывы'!E57,""),"")</x:f>
        <x:v>5</x:v>
      </x:c>
      <x:c r="C78" s="2" t="n">
        <x:f>IF('04_Отзывы'!F57="да",1,IF('04_Отзывы'!F57="нет",0,""))</x:f>
        <x:v>1</x:v>
      </x:c>
      <x:c r="D78" s="2"/>
    </x:row>
    <x:row r="79" ht="26" customHeight="1">
      <x:c r="A79" s="2" t="str">
        <x:v>R057</x:v>
      </x:c>
      <x:c r="B79" s="2" t="n">
        <x:f>IF(ISNUMBER('04_Отзывы'!E58),IF(AND('04_Отзывы'!E58&gt;=1,'04_Отзывы'!E58&lt;=5,MOD('04_Отзывы'!E58,1)=0),'04_Отзывы'!E58,""),"")</x:f>
        <x:v>2</x:v>
      </x:c>
      <x:c r="C79" s="2" t="n">
        <x:f>IF('04_Отзывы'!F58="да",1,IF('04_Отзывы'!F58="нет",0,""))</x:f>
        <x:v>0</x:v>
      </x:c>
      <x:c r="D79" s="2"/>
    </x:row>
    <x:row r="80" ht="26" customHeight="1">
      <x:c r="A80" s="2" t="str">
        <x:v>R058</x:v>
      </x:c>
      <x:c r="B80" s="2" t="n">
        <x:f>IF(ISNUMBER('04_Отзывы'!E59),IF(AND('04_Отзывы'!E59&gt;=1,'04_Отзывы'!E59&lt;=5,MOD('04_Отзывы'!E59,1)=0),'04_Отзывы'!E59,""),"")</x:f>
        <x:v>2</x:v>
      </x:c>
      <x:c r="C80" s="2" t="n">
        <x:f>IF('04_Отзывы'!F59="да",1,IF('04_Отзывы'!F59="нет",0,""))</x:f>
        <x:v>0</x:v>
      </x:c>
      <x:c r="D80" s="2"/>
    </x:row>
    <x:row r="81" ht="26" customHeight="1">
      <x:c r="A81" s="2" t="str">
        <x:v>R059</x:v>
      </x:c>
      <x:c r="B81" s="2" t="n">
        <x:f>IF(ISNUMBER('04_Отзывы'!E60),IF(AND('04_Отзывы'!E60&gt;=1,'04_Отзывы'!E60&lt;=5,MOD('04_Отзывы'!E60,1)=0),'04_Отзывы'!E60,""),"")</x:f>
        <x:v>2</x:v>
      </x:c>
      <x:c r="C81" s="2" t="n">
        <x:f>IF('04_Отзывы'!F60="да",1,IF('04_Отзывы'!F60="нет",0,""))</x:f>
        <x:v>0</x:v>
      </x:c>
      <x:c r="D81" s="2"/>
    </x:row>
    <x:row r="82" ht="26" customHeight="1">
      <x:c r="A82" s="2" t="str">
        <x:v>R060</x:v>
      </x:c>
      <x:c r="B82" s="2" t="n">
        <x:f>IF(ISNUMBER('04_Отзывы'!E61),IF(AND('04_Отзывы'!E61&gt;=1,'04_Отзывы'!E61&lt;=5,MOD('04_Отзывы'!E61,1)=0),'04_Отзывы'!E61,""),"")</x:f>
        <x:v>2</x:v>
      </x:c>
      <x:c r="C82" s="2" t="n">
        <x:f>IF('04_Отзывы'!F61="да",1,IF('04_Отзывы'!F61="нет",0,""))</x:f>
        <x:v>0</x:v>
      </x:c>
      <x:c r="D82" s="2"/>
    </x:row>
    <x:row r="83" ht="26" customHeight="1">
      <x:c r="A83" s="2" t="str">
        <x:v>R061</x:v>
      </x:c>
      <x:c r="B83" s="2" t="n">
        <x:f>IF(ISNUMBER('04_Отзывы'!E62),IF(AND('04_Отзывы'!E62&gt;=1,'04_Отзывы'!E62&lt;=5,MOD('04_Отзывы'!E62,1)=0),'04_Отзывы'!E62,""),"")</x:f>
        <x:v>2</x:v>
      </x:c>
      <x:c r="C83" s="2" t="n">
        <x:f>IF('04_Отзывы'!F62="да",1,IF('04_Отзывы'!F62="нет",0,""))</x:f>
        <x:v>0</x:v>
      </x:c>
      <x:c r="D83" s="2"/>
    </x:row>
    <x:row r="84" ht="26" customHeight="1">
      <x:c r="A84" s="2" t="str">
        <x:v>R062</x:v>
      </x:c>
      <x:c r="B84" s="2" t="n">
        <x:f>IF(ISNUMBER('04_Отзывы'!E63),IF(AND('04_Отзывы'!E63&gt;=1,'04_Отзывы'!E63&lt;=5,MOD('04_Отзывы'!E63,1)=0),'04_Отзывы'!E63,""),"")</x:f>
        <x:v>2</x:v>
      </x:c>
      <x:c r="C84" s="2" t="n">
        <x:f>IF('04_Отзывы'!F63="да",1,IF('04_Отзывы'!F63="нет",0,""))</x:f>
        <x:v>0</x:v>
      </x:c>
      <x:c r="D84" s="2"/>
    </x:row>
    <x:row r="85" ht="26" customHeight="1">
      <x:c r="A85" s="2" t="str">
        <x:v>R063</x:v>
      </x:c>
      <x:c r="B85" s="2" t="n">
        <x:f>IF(ISNUMBER('04_Отзывы'!E64),IF(AND('04_Отзывы'!E64&gt;=1,'04_Отзывы'!E64&lt;=5,MOD('04_Отзывы'!E64,1)=0),'04_Отзывы'!E64,""),"")</x:f>
        <x:v>2</x:v>
      </x:c>
      <x:c r="C85" s="2" t="n">
        <x:f>IF('04_Отзывы'!F64="да",1,IF('04_Отзывы'!F64="нет",0,""))</x:f>
        <x:v>0</x:v>
      </x:c>
      <x:c r="D85" s="2"/>
    </x:row>
    <x:row r="86" ht="26" customHeight="1">
      <x:c r="A86" s="2" t="str">
        <x:v>R064</x:v>
      </x:c>
      <x:c r="B86" s="2" t="n">
        <x:f>IF(ISNUMBER('04_Отзывы'!E65),IF(AND('04_Отзывы'!E65&gt;=1,'04_Отзывы'!E65&lt;=5,MOD('04_Отзывы'!E65,1)=0),'04_Отзывы'!E65,""),"")</x:f>
        <x:v>3</x:v>
      </x:c>
      <x:c r="C86" s="2" t="n">
        <x:f>IF('04_Отзывы'!F65="да",1,IF('04_Отзывы'!F65="нет",0,""))</x:f>
        <x:v>0</x:v>
      </x:c>
      <x:c r="D86" s="2"/>
    </x:row>
    <x:row r="87" ht="26" customHeight="1">
      <x:c r="A87" s="2" t="str">
        <x:v>R065</x:v>
      </x:c>
      <x:c r="B87" s="2" t="n">
        <x:f>IF(ISNUMBER('04_Отзывы'!E66),IF(AND('04_Отзывы'!E66&gt;=1,'04_Отзывы'!E66&lt;=5,MOD('04_Отзывы'!E66,1)=0),'04_Отзывы'!E66,""),"")</x:f>
        <x:v>3</x:v>
      </x:c>
      <x:c r="C87" s="2" t="n">
        <x:f>IF('04_Отзывы'!F66="да",1,IF('04_Отзывы'!F66="нет",0,""))</x:f>
        <x:v>0</x:v>
      </x:c>
      <x:c r="D87" s="2"/>
    </x:row>
    <x:row r="88" ht="26" customHeight="1">
      <x:c r="A88" s="2" t="str">
        <x:v>R066</x:v>
      </x:c>
      <x:c r="B88" s="2" t="n">
        <x:f>IF(ISNUMBER('04_Отзывы'!E67),IF(AND('04_Отзывы'!E67&gt;=1,'04_Отзывы'!E67&lt;=5,MOD('04_Отзывы'!E67,1)=0),'04_Отзывы'!E67,""),"")</x:f>
        <x:v>3</x:v>
      </x:c>
      <x:c r="C88" s="2" t="n">
        <x:f>IF('04_Отзывы'!F67="да",1,IF('04_Отзывы'!F67="нет",0,""))</x:f>
        <x:v>0</x:v>
      </x:c>
      <x:c r="D88" s="2"/>
    </x:row>
    <x:row r="89" ht="26" customHeight="1">
      <x:c r="A89" s="2" t="str">
        <x:v>R067</x:v>
      </x:c>
      <x:c r="B89" s="2" t="n">
        <x:f>IF(ISNUMBER('04_Отзывы'!E68),IF(AND('04_Отзывы'!E68&gt;=1,'04_Отзывы'!E68&lt;=5,MOD('04_Отзывы'!E68,1)=0),'04_Отзывы'!E68,""),"")</x:f>
        <x:v>4</x:v>
      </x:c>
      <x:c r="C89" s="2" t="n">
        <x:f>IF('04_Отзывы'!F68="да",1,IF('04_Отзывы'!F68="нет",0,""))</x:f>
        <x:v>1</x:v>
      </x:c>
      <x:c r="D89" s="2"/>
    </x:row>
    <x:row r="90" ht="26" customHeight="1">
      <x:c r="A90" s="2" t="str">
        <x:v>R068</x:v>
      </x:c>
      <x:c r="B90" s="2" t="n">
        <x:f>IF(ISNUMBER('04_Отзывы'!E69),IF(AND('04_Отзывы'!E69&gt;=1,'04_Отзывы'!E69&lt;=5,MOD('04_Отзывы'!E69,1)=0),'04_Отзывы'!E69,""),"")</x:f>
        <x:v>4</x:v>
      </x:c>
      <x:c r="C90" s="2" t="n">
        <x:f>IF('04_Отзывы'!F69="да",1,IF('04_Отзывы'!F69="нет",0,""))</x:f>
        <x:v>1</x:v>
      </x:c>
      <x:c r="D90" s="2"/>
    </x:row>
    <x:row r="91" ht="26" customHeight="1">
      <x:c r="A91" s="2" t="str">
        <x:v>R069</x:v>
      </x:c>
      <x:c r="B91" s="2" t="n">
        <x:f>IF(ISNUMBER('04_Отзывы'!E70),IF(AND('04_Отзывы'!E70&gt;=1,'04_Отзывы'!E70&lt;=5,MOD('04_Отзывы'!E70,1)=0),'04_Отзывы'!E70,""),"")</x:f>
        <x:v>3</x:v>
      </x:c>
      <x:c r="C91" s="2" t="n">
        <x:f>IF('04_Отзывы'!F70="да",1,IF('04_Отзывы'!F70="нет",0,""))</x:f>
        <x:v>0</x:v>
      </x:c>
      <x:c r="D91" s="2"/>
    </x:row>
    <x:row r="92" ht="26" customHeight="1">
      <x:c r="A92" s="2" t="str">
        <x:v>R070</x:v>
      </x:c>
      <x:c r="B92" s="2" t="n">
        <x:f>IF(ISNUMBER('04_Отзывы'!E71),IF(AND('04_Отзывы'!E71&gt;=1,'04_Отзывы'!E71&lt;=5,MOD('04_Отзывы'!E71,1)=0),'04_Отзывы'!E71,""),"")</x:f>
        <x:v>4</x:v>
      </x:c>
      <x:c r="C92" s="2" t="n">
        <x:f>IF('04_Отзывы'!F71="да",1,IF('04_Отзывы'!F71="нет",0,""))</x:f>
        <x:v>1</x:v>
      </x:c>
      <x:c r="D92" s="2"/>
    </x:row>
    <x:row r="93" ht="26" customHeight="1">
      <x:c r="A93" s="2" t="str">
        <x:v>R071</x:v>
      </x:c>
      <x:c r="B93" s="2" t="n">
        <x:f>IF(ISNUMBER('04_Отзывы'!E72),IF(AND('04_Отзывы'!E72&gt;=1,'04_Отзывы'!E72&lt;=5,MOD('04_Отзывы'!E72,1)=0),'04_Отзывы'!E72,""),"")</x:f>
        <x:v>3</x:v>
      </x:c>
      <x:c r="C93" s="2" t="n">
        <x:f>IF('04_Отзывы'!F72="да",1,IF('04_Отзывы'!F72="нет",0,""))</x:f>
        <x:v>0</x:v>
      </x:c>
      <x:c r="D93" s="2"/>
    </x:row>
    <x:row r="94" ht="26" customHeight="1">
      <x:c r="A94" s="2" t="str">
        <x:v>R072</x:v>
      </x:c>
      <x:c r="B94" s="2" t="n">
        <x:f>IF(ISNUMBER('04_Отзывы'!E73),IF(AND('04_Отзывы'!E73&gt;=1,'04_Отзывы'!E73&lt;=5,MOD('04_Отзывы'!E73,1)=0),'04_Отзывы'!E73,""),"")</x:f>
        <x:v>3</x:v>
      </x:c>
      <x:c r="C94" s="2" t="n">
        <x:f>IF('04_Отзывы'!F73="да",1,IF('04_Отзывы'!F73="нет",0,""))</x:f>
        <x:v>0</x:v>
      </x:c>
      <x:c r="D94" s="2"/>
    </x:row>
    <x:row r="95" ht="26" customHeight="1">
      <x:c r="A95" s="2" t="str">
        <x:v>R073</x:v>
      </x:c>
      <x:c r="B95" s="2" t="n">
        <x:f>IF(ISNUMBER('04_Отзывы'!E74),IF(AND('04_Отзывы'!E74&gt;=1,'04_Отзывы'!E74&lt;=5,MOD('04_Отзывы'!E74,1)=0),'04_Отзывы'!E74,""),"")</x:f>
        <x:v>5</x:v>
      </x:c>
      <x:c r="C95" s="2" t="n">
        <x:f>IF('04_Отзывы'!F74="да",1,IF('04_Отзывы'!F74="нет",0,""))</x:f>
        <x:v>1</x:v>
      </x:c>
      <x:c r="D95" s="2"/>
    </x:row>
    <x:row r="96" ht="26" customHeight="1">
      <x:c r="A96" s="2" t="str">
        <x:v>R074</x:v>
      </x:c>
      <x:c r="B96" s="2" t="n">
        <x:f>IF(ISNUMBER('04_Отзывы'!E75),IF(AND('04_Отзывы'!E75&gt;=1,'04_Отзывы'!E75&lt;=5,MOD('04_Отзывы'!E75,1)=0),'04_Отзывы'!E75,""),"")</x:f>
        <x:v>5</x:v>
      </x:c>
      <x:c r="C96" s="2" t="n">
        <x:f>IF('04_Отзывы'!F75="да",1,IF('04_Отзывы'!F75="нет",0,""))</x:f>
        <x:v>1</x:v>
      </x:c>
      <x:c r="D96" s="2"/>
    </x:row>
    <x:row r="97" ht="26" customHeight="1">
      <x:c r="A97" s="2" t="str">
        <x:v>R075</x:v>
      </x:c>
      <x:c r="B97" s="2" t="n">
        <x:f>IF(ISNUMBER('04_Отзывы'!E76),IF(AND('04_Отзывы'!E76&gt;=1,'04_Отзывы'!E76&lt;=5,MOD('04_Отзывы'!E76,1)=0),'04_Отзывы'!E76,""),"")</x:f>
        <x:v>5</x:v>
      </x:c>
      <x:c r="C97" s="2" t="n">
        <x:f>IF('04_Отзывы'!F76="да",1,IF('04_Отзывы'!F76="нет",0,""))</x:f>
        <x:v>1</x:v>
      </x:c>
      <x:c r="D97" s="2"/>
    </x:row>
    <x:row r="98" ht="26" customHeight="1">
      <x:c r="A98" s="2" t="str">
        <x:v>R076</x:v>
      </x:c>
      <x:c r="B98" s="2" t="n">
        <x:f>IF(ISNUMBER('04_Отзывы'!E77),IF(AND('04_Отзывы'!E77&gt;=1,'04_Отзывы'!E77&lt;=5,MOD('04_Отзывы'!E77,1)=0),'04_Отзывы'!E77,""),"")</x:f>
        <x:v>5</x:v>
      </x:c>
      <x:c r="C98" s="2" t="n">
        <x:f>IF('04_Отзывы'!F77="да",1,IF('04_Отзывы'!F77="нет",0,""))</x:f>
        <x:v>1</x:v>
      </x:c>
      <x:c r="D98" s="2"/>
    </x:row>
    <x:row r="99" ht="26" customHeight="1">
      <x:c r="A99" s="2" t="str">
        <x:v>R077</x:v>
      </x:c>
      <x:c r="B99" s="2" t="str">
        <x:f>IF(ISNUMBER('04_Отзывы'!E78),IF(AND('04_Отзывы'!E78&gt;=1,'04_Отзывы'!E78&lt;=5,MOD('04_Отзывы'!E78,1)=0),'04_Отзывы'!E78,""),"")</x:f>
      </x:c>
      <x:c r="C99" s="2" t="n">
        <x:f>IF('04_Отзывы'!F78="да",1,IF('04_Отзывы'!F78="нет",0,""))</x:f>
        <x:v>1</x:v>
      </x:c>
      <x:c r="D99" s="2"/>
    </x:row>
    <x:row r="100" ht="26" customHeight="1">
      <x:c r="A100" s="2" t="str">
        <x:v>R078</x:v>
      </x:c>
      <x:c r="B100" s="2" t="n">
        <x:f>IF(ISNUMBER('04_Отзывы'!E79),IF(AND('04_Отзывы'!E79&gt;=1,'04_Отзывы'!E79&lt;=5,MOD('04_Отзывы'!E79,1)=0),'04_Отзывы'!E79,""),"")</x:f>
        <x:v>5</x:v>
      </x:c>
      <x:c r="C100" s="2" t="n">
        <x:f>IF('04_Отзывы'!F79="да",1,IF('04_Отзывы'!F79="нет",0,""))</x:f>
        <x:v>1</x:v>
      </x:c>
      <x:c r="D100" s="2"/>
    </x:row>
    <x:row r="101" ht="26" customHeight="1">
      <x:c r="A101" s="2" t="str">
        <x:v>R079</x:v>
      </x:c>
      <x:c r="B101" s="2" t="n">
        <x:f>IF(ISNUMBER('04_Отзывы'!E80),IF(AND('04_Отзывы'!E80&gt;=1,'04_Отзывы'!E80&lt;=5,MOD('04_Отзывы'!E80,1)=0),'04_Отзывы'!E80,""),"")</x:f>
        <x:v>5</x:v>
      </x:c>
      <x:c r="C101" s="2" t="n">
        <x:f>IF('04_Отзывы'!F80="да",1,IF('04_Отзывы'!F80="нет",0,""))</x:f>
        <x:v>1</x:v>
      </x:c>
      <x:c r="D101" s="2"/>
    </x:row>
    <x:row r="102" ht="26" customHeight="1">
      <x:c r="A102" s="2" t="str">
        <x:v>R080</x:v>
      </x:c>
      <x:c r="B102" s="2" t="n">
        <x:f>IF(ISNUMBER('04_Отзывы'!E81),IF(AND('04_Отзывы'!E81&gt;=1,'04_Отзывы'!E81&lt;=5,MOD('04_Отзывы'!E81,1)=0),'04_Отзывы'!E81,""),"")</x:f>
        <x:v>5</x:v>
      </x:c>
      <x:c r="C102" s="2" t="n">
        <x:f>IF('04_Отзывы'!F81="да",1,IF('04_Отзывы'!F81="нет",0,""))</x:f>
        <x:v>1</x:v>
      </x:c>
      <x:c r="D102" s="2"/>
    </x:row>
    <x:row r="103" ht="26" customHeight="1">
      <x:c r="A103" s="2" t="str">
        <x:v>R081</x:v>
      </x:c>
      <x:c r="B103" s="2" t="n">
        <x:f>IF(ISNUMBER('04_Отзывы'!E82),IF(AND('04_Отзывы'!E82&gt;=1,'04_Отзывы'!E82&lt;=5,MOD('04_Отзывы'!E82,1)=0),'04_Отзывы'!E82,""),"")</x:f>
        <x:v>2</x:v>
      </x:c>
      <x:c r="C103" s="2" t="n">
        <x:f>IF('04_Отзывы'!F82="да",1,IF('04_Отзывы'!F82="нет",0,""))</x:f>
        <x:v>0</x:v>
      </x:c>
      <x:c r="D103" s="2"/>
    </x:row>
    <x:row r="104" ht="26" customHeight="1">
      <x:c r="A104" s="2" t="str">
        <x:v>R082</x:v>
      </x:c>
      <x:c r="B104" s="2" t="n">
        <x:f>IF(ISNUMBER('04_Отзывы'!E83),IF(AND('04_Отзывы'!E83&gt;=1,'04_Отзывы'!E83&lt;=5,MOD('04_Отзывы'!E83,1)=0),'04_Отзывы'!E83,""),"")</x:f>
        <x:v>2</x:v>
      </x:c>
      <x:c r="C104" s="2" t="n">
        <x:f>IF('04_Отзывы'!F83="да",1,IF('04_Отзывы'!F83="нет",0,""))</x:f>
        <x:v>0</x:v>
      </x:c>
      <x:c r="D104" s="2"/>
    </x:row>
    <x:row r="105" ht="26" customHeight="1">
      <x:c r="A105" s="2" t="str">
        <x:v>R083</x:v>
      </x:c>
      <x:c r="B105" s="2" t="n">
        <x:f>IF(ISNUMBER('04_Отзывы'!E84),IF(AND('04_Отзывы'!E84&gt;=1,'04_Отзывы'!E84&lt;=5,MOD('04_Отзывы'!E84,1)=0),'04_Отзывы'!E84,""),"")</x:f>
        <x:v>2</x:v>
      </x:c>
      <x:c r="C105" s="2" t="n">
        <x:f>IF('04_Отзывы'!F84="да",1,IF('04_Отзывы'!F84="нет",0,""))</x:f>
        <x:v>0</x:v>
      </x:c>
      <x:c r="D105" s="2"/>
    </x:row>
    <x:row r="106" ht="26" customHeight="1">
      <x:c r="A106" s="2" t="str">
        <x:v>R084</x:v>
      </x:c>
      <x:c r="B106" s="2" t="n">
        <x:f>IF(ISNUMBER('04_Отзывы'!E85),IF(AND('04_Отзывы'!E85&gt;=1,'04_Отзывы'!E85&lt;=5,MOD('04_Отзывы'!E85,1)=0),'04_Отзывы'!E85,""),"")</x:f>
        <x:v>2</x:v>
      </x:c>
      <x:c r="C106" s="2" t="n">
        <x:f>IF('04_Отзывы'!F85="да",1,IF('04_Отзывы'!F85="нет",0,""))</x:f>
        <x:v>0</x:v>
      </x:c>
      <x:c r="D106" s="2"/>
    </x:row>
    <x:row r="107" ht="26" customHeight="1">
      <x:c r="A107" s="2" t="str">
        <x:v>R085</x:v>
      </x:c>
      <x:c r="B107" s="2" t="n">
        <x:f>IF(ISNUMBER('04_Отзывы'!E86),IF(AND('04_Отзывы'!E86&gt;=1,'04_Отзывы'!E86&lt;=5,MOD('04_Отзывы'!E86,1)=0),'04_Отзывы'!E86,""),"")</x:f>
        <x:v>2</x:v>
      </x:c>
      <x:c r="C107" s="2" t="n">
        <x:f>IF('04_Отзывы'!F86="да",1,IF('04_Отзывы'!F86="нет",0,""))</x:f>
        <x:v>0</x:v>
      </x:c>
      <x:c r="D107" s="2"/>
    </x:row>
    <x:row r="108" ht="26" customHeight="1">
      <x:c r="A108" s="2" t="str">
        <x:v>R086</x:v>
      </x:c>
      <x:c r="B108" s="2" t="n">
        <x:f>IF(ISNUMBER('04_Отзывы'!E87),IF(AND('04_Отзывы'!E87&gt;=1,'04_Отзывы'!E87&lt;=5,MOD('04_Отзывы'!E87,1)=0),'04_Отзывы'!E87,""),"")</x:f>
        <x:v>2</x:v>
      </x:c>
      <x:c r="C108" s="2" t="n">
        <x:f>IF('04_Отзывы'!F87="да",1,IF('04_Отзывы'!F87="нет",0,""))</x:f>
        <x:v>0</x:v>
      </x:c>
      <x:c r="D108" s="2"/>
    </x:row>
    <x:row r="109" ht="26" customHeight="1">
      <x:c r="A109" s="2" t="str">
        <x:v>R087</x:v>
      </x:c>
      <x:c r="B109" s="2" t="n">
        <x:f>IF(ISNUMBER('04_Отзывы'!E88),IF(AND('04_Отзывы'!E88&gt;=1,'04_Отзывы'!E88&lt;=5,MOD('04_Отзывы'!E88,1)=0),'04_Отзывы'!E88,""),"")</x:f>
        <x:v>2</x:v>
      </x:c>
      <x:c r="C109" s="2" t="n">
        <x:f>IF('04_Отзывы'!F88="да",1,IF('04_Отзывы'!F88="нет",0,""))</x:f>
        <x:v>0</x:v>
      </x:c>
      <x:c r="D109" s="2"/>
    </x:row>
    <x:row r="110" ht="26" customHeight="1">
      <x:c r="A110" s="2" t="str">
        <x:v>R088</x:v>
      </x:c>
      <x:c r="B110" s="2" t="n">
        <x:f>IF(ISNUMBER('04_Отзывы'!E89),IF(AND('04_Отзывы'!E89&gt;=1,'04_Отзывы'!E89&lt;=5,MOD('04_Отзывы'!E89,1)=0),'04_Отзывы'!E89,""),"")</x:f>
        <x:v>3</x:v>
      </x:c>
      <x:c r="C110" s="2" t="n">
        <x:f>IF('04_Отзывы'!F89="да",1,IF('04_Отзывы'!F89="нет",0,""))</x:f>
        <x:v>0</x:v>
      </x:c>
      <x:c r="D110" s="2"/>
    </x:row>
    <x:row r="111" ht="26" customHeight="1">
      <x:c r="A111" s="2" t="str">
        <x:v>R089</x:v>
      </x:c>
      <x:c r="B111" s="2" t="n">
        <x:f>IF(ISNUMBER('04_Отзывы'!E90),IF(AND('04_Отзывы'!E90&gt;=1,'04_Отзывы'!E90&lt;=5,MOD('04_Отзывы'!E90,1)=0),'04_Отзывы'!E90,""),"")</x:f>
        <x:v>3</x:v>
      </x:c>
      <x:c r="C111" s="2" t="n">
        <x:f>IF('04_Отзывы'!F90="да",1,IF('04_Отзывы'!F90="нет",0,""))</x:f>
        <x:v>0</x:v>
      </x:c>
      <x:c r="D111" s="2"/>
    </x:row>
    <x:row r="112" ht="26" customHeight="1">
      <x:c r="A112" s="2" t="str">
        <x:v>R090</x:v>
      </x:c>
      <x:c r="B112" s="2" t="n">
        <x:f>IF(ISNUMBER('04_Отзывы'!E91),IF(AND('04_Отзывы'!E91&gt;=1,'04_Отзывы'!E91&lt;=5,MOD('04_Отзывы'!E91,1)=0),'04_Отзывы'!E91,""),"")</x:f>
        <x:v>3</x:v>
      </x:c>
      <x:c r="C112" s="2" t="n">
        <x:f>IF('04_Отзывы'!F91="да",1,IF('04_Отзывы'!F91="нет",0,""))</x:f>
        <x:v>0</x:v>
      </x:c>
      <x:c r="D112" s="2"/>
    </x:row>
    <x:row r="113" ht="26" customHeight="1">
      <x:c r="A113" s="2" t="str">
        <x:v>R091</x:v>
      </x:c>
      <x:c r="B113" s="2" t="n">
        <x:f>IF(ISNUMBER('04_Отзывы'!E92),IF(AND('04_Отзывы'!E92&gt;=1,'04_Отзывы'!E92&lt;=5,MOD('04_Отзывы'!E92,1)=0),'04_Отзывы'!E92,""),"")</x:f>
        <x:v>4</x:v>
      </x:c>
      <x:c r="C113" s="2" t="str">
        <x:f>IF('04_Отзывы'!F92="да",1,IF('04_Отзывы'!F92="нет",0,""))</x:f>
      </x:c>
      <x:c r="D113" s="2"/>
    </x:row>
    <x:row r="114" ht="26" customHeight="1">
      <x:c r="A114" s="2" t="str">
        <x:v>R092</x:v>
      </x:c>
      <x:c r="B114" s="2" t="n">
        <x:f>IF(ISNUMBER('04_Отзывы'!E93),IF(AND('04_Отзывы'!E93&gt;=1,'04_Отзывы'!E93&lt;=5,MOD('04_Отзывы'!E93,1)=0),'04_Отзывы'!E93,""),"")</x:f>
        <x:v>4</x:v>
      </x:c>
      <x:c r="C114" s="2" t="n">
        <x:f>IF('04_Отзывы'!F93="да",1,IF('04_Отзывы'!F93="нет",0,""))</x:f>
        <x:v>1</x:v>
      </x:c>
      <x:c r="D114" s="2"/>
    </x:row>
    <x:row r="115" ht="26" customHeight="1">
      <x:c r="A115" s="2" t="str">
        <x:v>R093</x:v>
      </x:c>
      <x:c r="B115" s="2" t="n">
        <x:f>IF(ISNUMBER('04_Отзывы'!E94),IF(AND('04_Отзывы'!E94&gt;=1,'04_Отзывы'!E94&lt;=5,MOD('04_Отзывы'!E94,1)=0),'04_Отзывы'!E94,""),"")</x:f>
        <x:v>3</x:v>
      </x:c>
      <x:c r="C115" s="2" t="n">
        <x:f>IF('04_Отзывы'!F94="да",1,IF('04_Отзывы'!F94="нет",0,""))</x:f>
        <x:v>0</x:v>
      </x:c>
      <x:c r="D115" s="2"/>
    </x:row>
    <x:row r="116" ht="26" customHeight="1">
      <x:c r="A116" s="2" t="str">
        <x:v>R094</x:v>
      </x:c>
      <x:c r="B116" s="2" t="n">
        <x:f>IF(ISNUMBER('04_Отзывы'!E95),IF(AND('04_Отзывы'!E95&gt;=1,'04_Отзывы'!E95&lt;=5,MOD('04_Отзывы'!E95,1)=0),'04_Отзывы'!E95,""),"")</x:f>
        <x:v>4</x:v>
      </x:c>
      <x:c r="C116" s="2" t="n">
        <x:f>IF('04_Отзывы'!F95="да",1,IF('04_Отзывы'!F95="нет",0,""))</x:f>
        <x:v>1</x:v>
      </x:c>
      <x:c r="D116" s="2"/>
    </x:row>
    <x:row r="117" ht="26" customHeight="1">
      <x:c r="A117" s="2" t="str">
        <x:v>R095</x:v>
      </x:c>
      <x:c r="B117" s="2" t="n">
        <x:f>IF(ISNUMBER('04_Отзывы'!E96),IF(AND('04_Отзывы'!E96&gt;=1,'04_Отзывы'!E96&lt;=5,MOD('04_Отзывы'!E96,1)=0),'04_Отзывы'!E96,""),"")</x:f>
        <x:v>3</x:v>
      </x:c>
      <x:c r="C117" s="2" t="n">
        <x:f>IF('04_Отзывы'!F96="да",1,IF('04_Отзывы'!F96="нет",0,""))</x:f>
        <x:v>0</x:v>
      </x:c>
      <x:c r="D117" s="2"/>
    </x:row>
    <x:row r="118" ht="26" customHeight="1">
      <x:c r="A118" s="2" t="str">
        <x:v>R096</x:v>
      </x:c>
      <x:c r="B118" s="2" t="n">
        <x:f>IF(ISNUMBER('04_Отзывы'!E97),IF(AND('04_Отзывы'!E97&gt;=1,'04_Отзывы'!E97&lt;=5,MOD('04_Отзывы'!E97,1)=0),'04_Отзывы'!E97,""),"")</x:f>
        <x:v>3</x:v>
      </x:c>
      <x:c r="C118" s="2" t="n">
        <x:f>IF('04_Отзывы'!F97="да",1,IF('04_Отзывы'!F97="нет",0,""))</x:f>
        <x:v>0</x:v>
      </x:c>
      <x:c r="D118" s="2"/>
    </x:row>
    <x:row r="119" ht="26" customHeight="1">
      <x:c r="A119" s="2" t="str">
        <x:v>R097</x:v>
      </x:c>
      <x:c r="B119" s="2" t="n">
        <x:f>IF(ISNUMBER('04_Отзывы'!E98),IF(AND('04_Отзывы'!E98&gt;=1,'04_Отзывы'!E98&lt;=5,MOD('04_Отзывы'!E98,1)=0),'04_Отзывы'!E98,""),"")</x:f>
        <x:v>5</x:v>
      </x:c>
      <x:c r="C119" s="2" t="n">
        <x:f>IF('04_Отзывы'!F98="да",1,IF('04_Отзывы'!F98="нет",0,""))</x:f>
        <x:v>1</x:v>
      </x:c>
      <x:c r="D119" s="2"/>
    </x:row>
    <x:row r="120" ht="26" customHeight="1">
      <x:c r="A120" s="2" t="str">
        <x:v>R098</x:v>
      </x:c>
      <x:c r="B120" s="2" t="n">
        <x:f>IF(ISNUMBER('04_Отзывы'!E99),IF(AND('04_Отзывы'!E99&gt;=1,'04_Отзывы'!E99&lt;=5,MOD('04_Отзывы'!E99,1)=0),'04_Отзывы'!E99,""),"")</x:f>
        <x:v>5</x:v>
      </x:c>
      <x:c r="C120" s="2" t="n">
        <x:f>IF('04_Отзывы'!F99="да",1,IF('04_Отзывы'!F99="нет",0,""))</x:f>
        <x:v>1</x:v>
      </x:c>
      <x:c r="D120" s="2"/>
    </x:row>
    <x:row r="121" ht="26" customHeight="1">
      <x:c r="A121" s="2" t="str">
        <x:v>R099</x:v>
      </x:c>
      <x:c r="B121" s="2" t="n">
        <x:f>IF(ISNUMBER('04_Отзывы'!E100),IF(AND('04_Отзывы'!E100&gt;=1,'04_Отзывы'!E100&lt;=5,MOD('04_Отзывы'!E100,1)=0),'04_Отзывы'!E100,""),"")</x:f>
        <x:v>5</x:v>
      </x:c>
      <x:c r="C121" s="2" t="n">
        <x:f>IF('04_Отзывы'!F100="да",1,IF('04_Отзывы'!F100="нет",0,""))</x:f>
        <x:v>1</x:v>
      </x:c>
      <x:c r="D121" s="2"/>
    </x:row>
    <x:row r="122" ht="26" customHeight="1">
      <x:c r="A122" s="2" t="str">
        <x:v>R100</x:v>
      </x:c>
      <x:c r="B122" s="2" t="n">
        <x:f>IF(ISNUMBER('04_Отзывы'!E101),IF(AND('04_Отзывы'!E101&gt;=1,'04_Отзывы'!E101&lt;=5,MOD('04_Отзывы'!E101,1)=0),'04_Отзывы'!E101,""),"")</x:f>
        <x:v>5</x:v>
      </x:c>
      <x:c r="C122" s="2" t="n">
        <x:f>IF('04_Отзывы'!F101="да",1,IF('04_Отзывы'!F101="нет",0,""))</x:f>
        <x:v>1</x:v>
      </x:c>
      <x:c r="D122" s="2"/>
    </x:row>
    <x:row r="123" ht="26" customHeight="1">
      <x:c r="A123" s="2" t="str">
        <x:v>R101</x:v>
      </x:c>
      <x:c r="B123" s="2" t="n">
        <x:f>IF(ISNUMBER('04_Отзывы'!E102),IF(AND('04_Отзывы'!E102&gt;=1,'04_Отзывы'!E102&lt;=5,MOD('04_Отзывы'!E102,1)=0),'04_Отзывы'!E102,""),"")</x:f>
        <x:v>5</x:v>
      </x:c>
      <x:c r="C123" s="2" t="n">
        <x:f>IF('04_Отзывы'!F102="да",1,IF('04_Отзывы'!F102="нет",0,""))</x:f>
        <x:v>1</x:v>
      </x:c>
      <x:c r="D123" s="2"/>
    </x:row>
    <x:row r="124" ht="26" customHeight="1">
      <x:c r="A124" s="2" t="str">
        <x:v>R102</x:v>
      </x:c>
      <x:c r="B124" s="2" t="n">
        <x:f>IF(ISNUMBER('04_Отзывы'!E103),IF(AND('04_Отзывы'!E103&gt;=1,'04_Отзывы'!E103&lt;=5,MOD('04_Отзывы'!E103,1)=0),'04_Отзывы'!E103,""),"")</x:f>
        <x:v>5</x:v>
      </x:c>
      <x:c r="C124" s="2" t="n">
        <x:f>IF('04_Отзывы'!F103="да",1,IF('04_Отзывы'!F103="нет",0,""))</x:f>
        <x:v>1</x:v>
      </x:c>
      <x:c r="D124" s="2"/>
    </x:row>
    <x:row r="125" ht="26" customHeight="1">
      <x:c r="A125" s="2" t="str">
        <x:v>R103</x:v>
      </x:c>
      <x:c r="B125" s="2" t="n">
        <x:f>IF(ISNUMBER('04_Отзывы'!E104),IF(AND('04_Отзывы'!E104&gt;=1,'04_Отзывы'!E104&lt;=5,MOD('04_Отзывы'!E104,1)=0),'04_Отзывы'!E104,""),"")</x:f>
        <x:v>5</x:v>
      </x:c>
      <x:c r="C125" s="2" t="n">
        <x:f>IF('04_Отзывы'!F104="да",1,IF('04_Отзывы'!F104="нет",0,""))</x:f>
        <x:v>1</x:v>
      </x:c>
      <x:c r="D125" s="2"/>
    </x:row>
    <x:row r="126" ht="26" customHeight="1">
      <x:c r="A126" s="2" t="str">
        <x:v>R104</x:v>
      </x:c>
      <x:c r="B126" s="2" t="n">
        <x:f>IF(ISNUMBER('04_Отзывы'!E105),IF(AND('04_Отзывы'!E105&gt;=1,'04_Отзывы'!E105&lt;=5,MOD('04_Отзывы'!E105,1)=0),'04_Отзывы'!E105,""),"")</x:f>
        <x:v>5</x:v>
      </x:c>
      <x:c r="C126" s="2" t="n">
        <x:f>IF('04_Отзывы'!F105="да",1,IF('04_Отзывы'!F105="нет",0,""))</x:f>
        <x:v>1</x:v>
      </x:c>
      <x:c r="D126" s="2"/>
    </x:row>
    <x:row r="127" ht="26" customHeight="1">
      <x:c r="A127" s="2" t="str">
        <x:v>R105</x:v>
      </x:c>
      <x:c r="B127" s="2" t="n">
        <x:f>IF(ISNUMBER('04_Отзывы'!E106),IF(AND('04_Отзывы'!E106&gt;=1,'04_Отзывы'!E106&lt;=5,MOD('04_Отзывы'!E106,1)=0),'04_Отзывы'!E106,""),"")</x:f>
        <x:v>2</x:v>
      </x:c>
      <x:c r="C127" s="2" t="n">
        <x:f>IF('04_Отзывы'!F106="да",1,IF('04_Отзывы'!F106="нет",0,""))</x:f>
        <x:v>0</x:v>
      </x:c>
      <x:c r="D127" s="2"/>
    </x:row>
    <x:row r="128" ht="26" customHeight="1">
      <x:c r="A128" s="2" t="str">
        <x:v>R106</x:v>
      </x:c>
      <x:c r="B128" s="2" t="n">
        <x:f>IF(ISNUMBER('04_Отзывы'!E107),IF(AND('04_Отзывы'!E107&gt;=1,'04_Отзывы'!E107&lt;=5,MOD('04_Отзывы'!E107,1)=0),'04_Отзывы'!E107,""),"")</x:f>
        <x:v>2</x:v>
      </x:c>
      <x:c r="C128" s="2" t="n">
        <x:f>IF('04_Отзывы'!F107="да",1,IF('04_Отзывы'!F107="нет",0,""))</x:f>
        <x:v>0</x:v>
      </x:c>
      <x:c r="D128" s="2"/>
    </x:row>
    <x:row r="129" ht="26" customHeight="1">
      <x:c r="A129" s="2" t="str">
        <x:v>R107</x:v>
      </x:c>
      <x:c r="B129" s="2" t="n">
        <x:f>IF(ISNUMBER('04_Отзывы'!E108),IF(AND('04_Отзывы'!E108&gt;=1,'04_Отзывы'!E108&lt;=5,MOD('04_Отзывы'!E108,1)=0),'04_Отзывы'!E108,""),"")</x:f>
        <x:v>2</x:v>
      </x:c>
      <x:c r="C129" s="2" t="n">
        <x:f>IF('04_Отзывы'!F108="да",1,IF('04_Отзывы'!F108="нет",0,""))</x:f>
        <x:v>0</x:v>
      </x:c>
      <x:c r="D129" s="2"/>
    </x:row>
    <x:row r="130" ht="26" customHeight="1">
      <x:c r="A130" s="2" t="str">
        <x:v>R108</x:v>
      </x:c>
      <x:c r="B130" s="2" t="n">
        <x:f>IF(ISNUMBER('04_Отзывы'!E109),IF(AND('04_Отзывы'!E109&gt;=1,'04_Отзывы'!E109&lt;=5,MOD('04_Отзывы'!E109,1)=0),'04_Отзывы'!E109,""),"")</x:f>
        <x:v>2</x:v>
      </x:c>
      <x:c r="C130" s="2" t="n">
        <x:f>IF('04_Отзывы'!F109="да",1,IF('04_Отзывы'!F109="нет",0,""))</x:f>
        <x:v>0</x:v>
      </x:c>
      <x:c r="D130" s="2"/>
    </x:row>
    <x:row r="131" ht="26" customHeight="1">
      <x:c r="A131" s="2" t="str">
        <x:v>R109</x:v>
      </x:c>
      <x:c r="B131" s="2" t="n">
        <x:f>IF(ISNUMBER('04_Отзывы'!E110),IF(AND('04_Отзывы'!E110&gt;=1,'04_Отзывы'!E110&lt;=5,MOD('04_Отзывы'!E110,1)=0),'04_Отзывы'!E110,""),"")</x:f>
        <x:v>2</x:v>
      </x:c>
      <x:c r="C131" s="2" t="n">
        <x:f>IF('04_Отзывы'!F110="да",1,IF('04_Отзывы'!F110="нет",0,""))</x:f>
        <x:v>0</x:v>
      </x:c>
      <x:c r="D131" s="2"/>
    </x:row>
    <x:row r="132" ht="26" customHeight="1">
      <x:c r="A132" s="2" t="str">
        <x:v>R110</x:v>
      </x:c>
      <x:c r="B132" s="2" t="n">
        <x:f>IF(ISNUMBER('04_Отзывы'!E111),IF(AND('04_Отзывы'!E111&gt;=1,'04_Отзывы'!E111&lt;=5,MOD('04_Отзывы'!E111,1)=0),'04_Отзывы'!E111,""),"")</x:f>
        <x:v>2</x:v>
      </x:c>
      <x:c r="C132" s="2" t="n">
        <x:f>IF('04_Отзывы'!F111="да",1,IF('04_Отзывы'!F111="нет",0,""))</x:f>
        <x:v>0</x:v>
      </x:c>
      <x:c r="D132" s="2"/>
    </x:row>
    <x:row r="133" ht="26" customHeight="1">
      <x:c r="A133" s="2" t="str">
        <x:v>R111</x:v>
      </x:c>
      <x:c r="B133" s="2" t="n">
        <x:f>IF(ISNUMBER('04_Отзывы'!E112),IF(AND('04_Отзывы'!E112&gt;=1,'04_Отзывы'!E112&lt;=5,MOD('04_Отзывы'!E112,1)=0),'04_Отзывы'!E112,""),"")</x:f>
        <x:v>2</x:v>
      </x:c>
      <x:c r="C133" s="2" t="n">
        <x:f>IF('04_Отзывы'!F112="да",1,IF('04_Отзывы'!F112="нет",0,""))</x:f>
        <x:v>0</x:v>
      </x:c>
      <x:c r="D133" s="2"/>
    </x:row>
    <x:row r="134" ht="26" customHeight="1">
      <x:c r="A134" s="2" t="str">
        <x:v>R112</x:v>
      </x:c>
      <x:c r="B134" s="2" t="n">
        <x:f>IF(ISNUMBER('04_Отзывы'!E113),IF(AND('04_Отзывы'!E113&gt;=1,'04_Отзывы'!E113&lt;=5,MOD('04_Отзывы'!E113,1)=0),'04_Отзывы'!E113,""),"")</x:f>
        <x:v>3</x:v>
      </x:c>
      <x:c r="C134" s="2" t="n">
        <x:f>IF('04_Отзывы'!F113="да",1,IF('04_Отзывы'!F113="нет",0,""))</x:f>
        <x:v>0</x:v>
      </x:c>
      <x:c r="D134" s="2"/>
    </x:row>
    <x:row r="135" ht="26" customHeight="1">
      <x:c r="A135" s="2" t="str">
        <x:v>R113</x:v>
      </x:c>
      <x:c r="B135" s="2" t="n">
        <x:f>IF(ISNUMBER('04_Отзывы'!E114),IF(AND('04_Отзывы'!E114&gt;=1,'04_Отзывы'!E114&lt;=5,MOD('04_Отзывы'!E114,1)=0),'04_Отзывы'!E114,""),"")</x:f>
        <x:v>3</x:v>
      </x:c>
      <x:c r="C135" s="2" t="n">
        <x:f>IF('04_Отзывы'!F114="да",1,IF('04_Отзывы'!F114="нет",0,""))</x:f>
        <x:v>0</x:v>
      </x:c>
      <x:c r="D135" s="2"/>
    </x:row>
    <x:row r="136" ht="26" customHeight="1">
      <x:c r="A136" s="2" t="str">
        <x:v>R114</x:v>
      </x:c>
      <x:c r="B136" s="2" t="n">
        <x:f>IF(ISNUMBER('04_Отзывы'!E115),IF(AND('04_Отзывы'!E115&gt;=1,'04_Отзывы'!E115&lt;=5,MOD('04_Отзывы'!E115,1)=0),'04_Отзывы'!E115,""),"")</x:f>
        <x:v>3</x:v>
      </x:c>
      <x:c r="C136" s="2" t="n">
        <x:f>IF('04_Отзывы'!F115="да",1,IF('04_Отзывы'!F115="нет",0,""))</x:f>
        <x:v>0</x:v>
      </x:c>
      <x:c r="D136" s="2"/>
    </x:row>
    <x:row r="137" ht="26" customHeight="1">
      <x:c r="A137" s="2" t="str">
        <x:v>R115</x:v>
      </x:c>
      <x:c r="B137" s="2" t="n">
        <x:f>IF(ISNUMBER('04_Отзывы'!E116),IF(AND('04_Отзывы'!E116&gt;=1,'04_Отзывы'!E116&lt;=5,MOD('04_Отзывы'!E116,1)=0),'04_Отзывы'!E116,""),"")</x:f>
        <x:v>4</x:v>
      </x:c>
      <x:c r="C137" s="2" t="n">
        <x:f>IF('04_Отзывы'!F116="да",1,IF('04_Отзывы'!F116="нет",0,""))</x:f>
        <x:v>1</x:v>
      </x:c>
      <x:c r="D137" s="2"/>
    </x:row>
    <x:row r="138" ht="26" customHeight="1">
      <x:c r="A138" s="2" t="str">
        <x:v>R116</x:v>
      </x:c>
      <x:c r="B138" s="2" t="n">
        <x:f>IF(ISNUMBER('04_Отзывы'!E117),IF(AND('04_Отзывы'!E117&gt;=1,'04_Отзывы'!E117&lt;=5,MOD('04_Отзывы'!E117,1)=0),'04_Отзывы'!E117,""),"")</x:f>
        <x:v>4</x:v>
      </x:c>
      <x:c r="C138" s="2" t="n">
        <x:f>IF('04_Отзывы'!F117="да",1,IF('04_Отзывы'!F117="нет",0,""))</x:f>
        <x:v>1</x:v>
      </x:c>
      <x:c r="D138" s="2"/>
    </x:row>
    <x:row r="139" ht="26" customHeight="1">
      <x:c r="A139" s="2" t="str">
        <x:v>R117</x:v>
      </x:c>
      <x:c r="B139" s="2" t="n">
        <x:f>IF(ISNUMBER('04_Отзывы'!E118),IF(AND('04_Отзывы'!E118&gt;=1,'04_Отзывы'!E118&lt;=5,MOD('04_Отзывы'!E118,1)=0),'04_Отзывы'!E118,""),"")</x:f>
        <x:v>3</x:v>
      </x:c>
      <x:c r="C139" s="2" t="n">
        <x:f>IF('04_Отзывы'!F118="да",1,IF('04_Отзывы'!F118="нет",0,""))</x:f>
        <x:v>0</x:v>
      </x:c>
      <x:c r="D139" s="2"/>
    </x:row>
    <x:row r="140" ht="26" customHeight="1">
      <x:c r="A140" s="2" t="str">
        <x:v>R118</x:v>
      </x:c>
      <x:c r="B140" s="2" t="n">
        <x:f>IF(ISNUMBER('04_Отзывы'!E119),IF(AND('04_Отзывы'!E119&gt;=1,'04_Отзывы'!E119&lt;=5,MOD('04_Отзывы'!E119,1)=0),'04_Отзывы'!E119,""),"")</x:f>
        <x:v>4</x:v>
      </x:c>
      <x:c r="C140" s="2" t="n">
        <x:f>IF('04_Отзывы'!F119="да",1,IF('04_Отзывы'!F119="нет",0,""))</x:f>
        <x:v>1</x:v>
      </x:c>
      <x:c r="D140" s="2"/>
    </x:row>
    <x:row r="141" ht="26" customHeight="1">
      <x:c r="A141" s="2" t="str">
        <x:v>R119</x:v>
      </x:c>
      <x:c r="B141" s="2" t="n">
        <x:f>IF(ISNUMBER('04_Отзывы'!E120),IF(AND('04_Отзывы'!E120&gt;=1,'04_Отзывы'!E120&lt;=5,MOD('04_Отзывы'!E120,1)=0),'04_Отзывы'!E120,""),"")</x:f>
        <x:v>3</x:v>
      </x:c>
      <x:c r="C141" s="2" t="n">
        <x:f>IF('04_Отзывы'!F120="да",1,IF('04_Отзывы'!F120="нет",0,""))</x:f>
        <x:v>0</x:v>
      </x:c>
      <x:c r="D141" s="2"/>
    </x:row>
    <x:row r="142" ht="26" customHeight="1">
      <x:c r="A142" s="2" t="str">
        <x:v>R120</x:v>
      </x:c>
      <x:c r="B142" s="2" t="n">
        <x:f>IF(ISNUMBER('04_Отзывы'!E121),IF(AND('04_Отзывы'!E121&gt;=1,'04_Отзывы'!E121&lt;=5,MOD('04_Отзывы'!E121,1)=0),'04_Отзывы'!E121,""),"")</x:f>
        <x:v>3</x:v>
      </x:c>
      <x:c r="C142" s="2" t="n">
        <x:f>IF('04_Отзывы'!F121="да",1,IF('04_Отзывы'!F121="нет",0,""))</x:f>
        <x:v>0</x:v>
      </x:c>
      <x:c r="D142" s="2"/>
    </x:row>
    <x:row r="143" ht="26" customHeight="1">
      <x:c r="A143" s="2" t="str">
        <x:v>R121</x:v>
      </x:c>
      <x:c r="B143" s="2" t="n">
        <x:f>IF(ISNUMBER('04_Отзывы'!E122),IF(AND('04_Отзывы'!E122&gt;=1,'04_Отзывы'!E122&lt;=5,MOD('04_Отзывы'!E122,1)=0),'04_Отзывы'!E122,""),"")</x:f>
        <x:v>5</x:v>
      </x:c>
      <x:c r="C143" s="2" t="n">
        <x:f>IF('04_Отзывы'!F122="да",1,IF('04_Отзывы'!F122="нет",0,""))</x:f>
        <x:v>1</x:v>
      </x:c>
      <x:c r="D143" s="2"/>
    </x:row>
    <x:row r="144" ht="26" customHeight="1">
      <x:c r="A144" s="2" t="str">
        <x:v>R122</x:v>
      </x:c>
      <x:c r="B144" s="2" t="n">
        <x:f>IF(ISNUMBER('04_Отзывы'!E123),IF(AND('04_Отзывы'!E123&gt;=1,'04_Отзывы'!E123&lt;=5,MOD('04_Отзывы'!E123,1)=0),'04_Отзывы'!E123,""),"")</x:f>
        <x:v>5</x:v>
      </x:c>
      <x:c r="C144" s="2" t="n">
        <x:f>IF('04_Отзывы'!F123="да",1,IF('04_Отзывы'!F123="нет",0,""))</x:f>
        <x:v>1</x:v>
      </x:c>
      <x:c r="D144" s="2"/>
    </x:row>
    <x:row r="145" ht="26" customHeight="1">
      <x:c r="A145" s="2" t="str">
        <x:v>R123</x:v>
      </x:c>
      <x:c r="B145" s="2" t="n">
        <x:f>IF(ISNUMBER('04_Отзывы'!E124),IF(AND('04_Отзывы'!E124&gt;=1,'04_Отзывы'!E124&lt;=5,MOD('04_Отзывы'!E124,1)=0),'04_Отзывы'!E124,""),"")</x:f>
        <x:v>5</x:v>
      </x:c>
      <x:c r="C145" s="2" t="n">
        <x:f>IF('04_Отзывы'!F124="да",1,IF('04_Отзывы'!F124="нет",0,""))</x:f>
        <x:v>1</x:v>
      </x:c>
      <x:c r="D145" s="2"/>
    </x:row>
    <x:row r="146" ht="26" customHeight="1">
      <x:c r="A146" s="2" t="str">
        <x:v>R124</x:v>
      </x:c>
      <x:c r="B146" s="2" t="n">
        <x:f>IF(ISNUMBER('04_Отзывы'!E125),IF(AND('04_Отзывы'!E125&gt;=1,'04_Отзывы'!E125&lt;=5,MOD('04_Отзывы'!E125,1)=0),'04_Отзывы'!E125,""),"")</x:f>
        <x:v>5</x:v>
      </x:c>
      <x:c r="C146" s="2" t="n">
        <x:f>IF('04_Отзывы'!F125="да",1,IF('04_Отзывы'!F125="нет",0,""))</x:f>
        <x:v>1</x:v>
      </x:c>
      <x:c r="D146" s="2"/>
    </x:row>
    <x:row r="147" ht="26" customHeight="1">
      <x:c r="A147" s="2" t="str">
        <x:v>R125</x:v>
      </x:c>
      <x:c r="B147" s="2" t="n">
        <x:f>IF(ISNUMBER('04_Отзывы'!E126),IF(AND('04_Отзывы'!E126&gt;=1,'04_Отзывы'!E126&lt;=5,MOD('04_Отзывы'!E126,1)=0),'04_Отзывы'!E126,""),"")</x:f>
        <x:v>5</x:v>
      </x:c>
      <x:c r="C147" s="2" t="n">
        <x:f>IF('04_Отзывы'!F126="да",1,IF('04_Отзывы'!F126="нет",0,""))</x:f>
        <x:v>1</x:v>
      </x:c>
      <x:c r="D147" s="2"/>
    </x:row>
    <x:row r="148" ht="26" customHeight="1">
      <x:c r="A148" s="2" t="str">
        <x:v>R126</x:v>
      </x:c>
      <x:c r="B148" s="2" t="n">
        <x:f>IF(ISNUMBER('04_Отзывы'!E127),IF(AND('04_Отзывы'!E127&gt;=1,'04_Отзывы'!E127&lt;=5,MOD('04_Отзывы'!E127,1)=0),'04_Отзывы'!E127,""),"")</x:f>
        <x:v>5</x:v>
      </x:c>
      <x:c r="C148" s="2" t="n">
        <x:f>IF('04_Отзывы'!F127="да",1,IF('04_Отзывы'!F127="нет",0,""))</x:f>
        <x:v>1</x:v>
      </x:c>
      <x:c r="D148" s="2"/>
    </x:row>
    <x:row r="149" ht="26" customHeight="1">
      <x:c r="A149" s="2" t="str">
        <x:v>R127</x:v>
      </x:c>
      <x:c r="B149" s="2" t="n">
        <x:f>IF(ISNUMBER('04_Отзывы'!E128),IF(AND('04_Отзывы'!E128&gt;=1,'04_Отзывы'!E128&lt;=5,MOD('04_Отзывы'!E128,1)=0),'04_Отзывы'!E128,""),"")</x:f>
        <x:v>5</x:v>
      </x:c>
      <x:c r="C149" s="2" t="n">
        <x:f>IF('04_Отзывы'!F128="да",1,IF('04_Отзывы'!F128="нет",0,""))</x:f>
        <x:v>1</x:v>
      </x:c>
      <x:c r="D149" s="2"/>
    </x:row>
    <x:row r="150" ht="26" customHeight="1">
      <x:c r="A150" s="2" t="str">
        <x:v>R128</x:v>
      </x:c>
      <x:c r="B150" s="2" t="n">
        <x:f>IF(ISNUMBER('04_Отзывы'!E129),IF(AND('04_Отзывы'!E129&gt;=1,'04_Отзывы'!E129&lt;=5,MOD('04_Отзывы'!E129,1)=0),'04_Отзывы'!E129,""),"")</x:f>
        <x:v>5</x:v>
      </x:c>
      <x:c r="C150" s="2" t="n">
        <x:f>IF('04_Отзывы'!F129="да",1,IF('04_Отзывы'!F129="нет",0,""))</x:f>
        <x:v>1</x:v>
      </x:c>
      <x:c r="D150" s="2"/>
    </x:row>
    <x:row r="151" ht="26" customHeight="1">
      <x:c r="A151" s="2" t="str">
        <x:v>R129</x:v>
      </x:c>
      <x:c r="B151" s="2" t="n">
        <x:f>IF(ISNUMBER('04_Отзывы'!E130),IF(AND('04_Отзывы'!E130&gt;=1,'04_Отзывы'!E130&lt;=5,MOD('04_Отзывы'!E130,1)=0),'04_Отзывы'!E130,""),"")</x:f>
        <x:v>2</x:v>
      </x:c>
      <x:c r="C151" s="2" t="n">
        <x:f>IF('04_Отзывы'!F130="да",1,IF('04_Отзывы'!F130="нет",0,""))</x:f>
        <x:v>0</x:v>
      </x:c>
      <x:c r="D151" s="2"/>
    </x:row>
    <x:row r="152" ht="26" customHeight="1">
      <x:c r="A152" s="2" t="str">
        <x:v>R130</x:v>
      </x:c>
      <x:c r="B152" s="2" t="n">
        <x:f>IF(ISNUMBER('04_Отзывы'!E131),IF(AND('04_Отзывы'!E131&gt;=1,'04_Отзывы'!E131&lt;=5,MOD('04_Отзывы'!E131,1)=0),'04_Отзывы'!E131,""),"")</x:f>
        <x:v>2</x:v>
      </x:c>
      <x:c r="C152" s="2" t="n">
        <x:f>IF('04_Отзывы'!F131="да",1,IF('04_Отзывы'!F131="нет",0,""))</x:f>
        <x:v>0</x:v>
      </x:c>
      <x:c r="D152" s="2"/>
    </x:row>
    <x:row r="153" ht="26" customHeight="1">
      <x:c r="A153" s="2" t="str">
        <x:v>R131</x:v>
      </x:c>
      <x:c r="B153" s="2" t="n">
        <x:f>IF(ISNUMBER('04_Отзывы'!E132),IF(AND('04_Отзывы'!E132&gt;=1,'04_Отзывы'!E132&lt;=5,MOD('04_Отзывы'!E132,1)=0),'04_Отзывы'!E132,""),"")</x:f>
        <x:v>2</x:v>
      </x:c>
      <x:c r="C153" s="2" t="n">
        <x:f>IF('04_Отзывы'!F132="да",1,IF('04_Отзывы'!F132="нет",0,""))</x:f>
        <x:v>0</x:v>
      </x:c>
      <x:c r="D153" s="2"/>
    </x:row>
    <x:row r="154" ht="26" customHeight="1">
      <x:c r="A154" s="2" t="str">
        <x:v>R132</x:v>
      </x:c>
      <x:c r="B154" s="2" t="n">
        <x:f>IF(ISNUMBER('04_Отзывы'!E133),IF(AND('04_Отзывы'!E133&gt;=1,'04_Отзывы'!E133&lt;=5,MOD('04_Отзывы'!E133,1)=0),'04_Отзывы'!E133,""),"")</x:f>
        <x:v>2</x:v>
      </x:c>
      <x:c r="C154" s="2" t="n">
        <x:f>IF('04_Отзывы'!F133="да",1,IF('04_Отзывы'!F133="нет",0,""))</x:f>
        <x:v>0</x:v>
      </x:c>
      <x:c r="D154" s="2"/>
    </x:row>
    <x:row r="155" ht="26" customHeight="1">
      <x:c r="A155" s="2" t="str">
        <x:v>R133</x:v>
      </x:c>
      <x:c r="B155" s="2" t="str">
        <x:f>IF(ISNUMBER('04_Отзывы'!E134),IF(AND('04_Отзывы'!E134&gt;=1,'04_Отзывы'!E134&lt;=5,MOD('04_Отзывы'!E134,1)=0),'04_Отзывы'!E134,""),"")</x:f>
      </x:c>
      <x:c r="C155" s="2" t="n">
        <x:f>IF('04_Отзывы'!F134="да",1,IF('04_Отзывы'!F134="нет",0,""))</x:f>
        <x:v>0</x:v>
      </x:c>
      <x:c r="D155" s="2"/>
    </x:row>
    <x:row r="156" ht="26" customHeight="1">
      <x:c r="A156" s="2" t="str">
        <x:v>R134</x:v>
      </x:c>
      <x:c r="B156" s="2" t="n">
        <x:f>IF(ISNUMBER('04_Отзывы'!E135),IF(AND('04_Отзывы'!E135&gt;=1,'04_Отзывы'!E135&lt;=5,MOD('04_Отзывы'!E135,1)=0),'04_Отзывы'!E135,""),"")</x:f>
        <x:v>2</x:v>
      </x:c>
      <x:c r="C156" s="2" t="n">
        <x:f>IF('04_Отзывы'!F135="да",1,IF('04_Отзывы'!F135="нет",0,""))</x:f>
        <x:v>0</x:v>
      </x:c>
      <x:c r="D156" s="2"/>
    </x:row>
    <x:row r="157" ht="26" customHeight="1">
      <x:c r="A157" s="2" t="str">
        <x:v>R135</x:v>
      </x:c>
      <x:c r="B157" s="2" t="n">
        <x:f>IF(ISNUMBER('04_Отзывы'!E136),IF(AND('04_Отзывы'!E136&gt;=1,'04_Отзывы'!E136&lt;=5,MOD('04_Отзывы'!E136,1)=0),'04_Отзывы'!E136,""),"")</x:f>
        <x:v>2</x:v>
      </x:c>
      <x:c r="C157" s="2" t="n">
        <x:f>IF('04_Отзывы'!F136="да",1,IF('04_Отзывы'!F136="нет",0,""))</x:f>
        <x:v>0</x:v>
      </x:c>
      <x:c r="D157" s="2"/>
    </x:row>
    <x:row r="158" ht="26" customHeight="1">
      <x:c r="A158" s="2" t="str">
        <x:v>R136</x:v>
      </x:c>
      <x:c r="B158" s="2" t="n">
        <x:f>IF(ISNUMBER('04_Отзывы'!E137),IF(AND('04_Отзывы'!E137&gt;=1,'04_Отзывы'!E137&lt;=5,MOD('04_Отзывы'!E137,1)=0),'04_Отзывы'!E137,""),"")</x:f>
        <x:v>3</x:v>
      </x:c>
      <x:c r="C158" s="2" t="n">
        <x:f>IF('04_Отзывы'!F137="да",1,IF('04_Отзывы'!F137="нет",0,""))</x:f>
        <x:v>0</x:v>
      </x:c>
      <x:c r="D158" s="2"/>
    </x:row>
    <x:row r="159" ht="26" customHeight="1">
      <x:c r="A159" s="2" t="str">
        <x:v>R137</x:v>
      </x:c>
      <x:c r="B159" s="2" t="n">
        <x:f>IF(ISNUMBER('04_Отзывы'!E138),IF(AND('04_Отзывы'!E138&gt;=1,'04_Отзывы'!E138&lt;=5,MOD('04_Отзывы'!E138,1)=0),'04_Отзывы'!E138,""),"")</x:f>
        <x:v>3</x:v>
      </x:c>
      <x:c r="C159" s="2" t="n">
        <x:f>IF('04_Отзывы'!F138="да",1,IF('04_Отзывы'!F138="нет",0,""))</x:f>
        <x:v>0</x:v>
      </x:c>
      <x:c r="D159" s="2"/>
    </x:row>
    <x:row r="160" ht="26" customHeight="1">
      <x:c r="A160" s="2" t="str">
        <x:v>R138</x:v>
      </x:c>
      <x:c r="B160" s="2" t="n">
        <x:f>IF(ISNUMBER('04_Отзывы'!E139),IF(AND('04_Отзывы'!E139&gt;=1,'04_Отзывы'!E139&lt;=5,MOD('04_Отзывы'!E139,1)=0),'04_Отзывы'!E139,""),"")</x:f>
        <x:v>3</x:v>
      </x:c>
      <x:c r="C160" s="2" t="n">
        <x:f>IF('04_Отзывы'!F139="да",1,IF('04_Отзывы'!F139="нет",0,""))</x:f>
        <x:v>0</x:v>
      </x:c>
      <x:c r="D160" s="2"/>
    </x:row>
    <x:row r="161" ht="26" customHeight="1">
      <x:c r="A161" s="2" t="str">
        <x:v>R139</x:v>
      </x:c>
      <x:c r="B161" s="2" t="n">
        <x:f>IF(ISNUMBER('04_Отзывы'!E140),IF(AND('04_Отзывы'!E140&gt;=1,'04_Отзывы'!E140&lt;=5,MOD('04_Отзывы'!E140,1)=0),'04_Отзывы'!E140,""),"")</x:f>
        <x:v>4</x:v>
      </x:c>
      <x:c r="C161" s="2" t="n">
        <x:f>IF('04_Отзывы'!F140="да",1,IF('04_Отзывы'!F140="нет",0,""))</x:f>
        <x:v>1</x:v>
      </x:c>
      <x:c r="D161" s="2"/>
    </x:row>
    <x:row r="162" ht="26" customHeight="1">
      <x:c r="A162" s="2" t="str">
        <x:v>R140</x:v>
      </x:c>
      <x:c r="B162" s="2" t="n">
        <x:f>IF(ISNUMBER('04_Отзывы'!E141),IF(AND('04_Отзывы'!E141&gt;=1,'04_Отзывы'!E141&lt;=5,MOD('04_Отзывы'!E141,1)=0),'04_Отзывы'!E141,""),"")</x:f>
        <x:v>4</x:v>
      </x:c>
      <x:c r="C162" s="2" t="n">
        <x:f>IF('04_Отзывы'!F141="да",1,IF('04_Отзывы'!F141="нет",0,""))</x:f>
        <x:v>1</x:v>
      </x:c>
      <x:c r="D162" s="2"/>
    </x:row>
    <x:row r="163" ht="26" customHeight="1">
      <x:c r="A163" s="2" t="str">
        <x:v>R141</x:v>
      </x:c>
      <x:c r="B163" s="2" t="n">
        <x:f>IF(ISNUMBER('04_Отзывы'!E142),IF(AND('04_Отзывы'!E142&gt;=1,'04_Отзывы'!E142&lt;=5,MOD('04_Отзывы'!E142,1)=0),'04_Отзывы'!E142,""),"")</x:f>
        <x:v>3</x:v>
      </x:c>
      <x:c r="C163" s="2" t="n">
        <x:f>IF('04_Отзывы'!F142="да",1,IF('04_Отзывы'!F142="нет",0,""))</x:f>
        <x:v>0</x:v>
      </x:c>
      <x:c r="D163" s="2"/>
    </x:row>
    <x:row r="164" ht="26" customHeight="1">
      <x:c r="A164" s="2" t="str">
        <x:v>R142</x:v>
      </x:c>
      <x:c r="B164" s="2" t="n">
        <x:f>IF(ISNUMBER('04_Отзывы'!E143),IF(AND('04_Отзывы'!E143&gt;=1,'04_Отзывы'!E143&lt;=5,MOD('04_Отзывы'!E143,1)=0),'04_Отзывы'!E143,""),"")</x:f>
        <x:v>4</x:v>
      </x:c>
      <x:c r="C164" s="2" t="n">
        <x:f>IF('04_Отзывы'!F143="да",1,IF('04_Отзывы'!F143="нет",0,""))</x:f>
        <x:v>1</x:v>
      </x:c>
      <x:c r="D164" s="2"/>
    </x:row>
    <x:row r="165" ht="26" customHeight="1">
      <x:c r="A165" s="2" t="str">
        <x:v>R143</x:v>
      </x:c>
      <x:c r="B165" s="2" t="n">
        <x:f>IF(ISNUMBER('04_Отзывы'!E144),IF(AND('04_Отзывы'!E144&gt;=1,'04_Отзывы'!E144&lt;=5,MOD('04_Отзывы'!E144,1)=0),'04_Отзывы'!E144,""),"")</x:f>
        <x:v>3</x:v>
      </x:c>
      <x:c r="C165" s="2" t="n">
        <x:f>IF('04_Отзывы'!F144="да",1,IF('04_Отзывы'!F144="нет",0,""))</x:f>
        <x:v>0</x:v>
      </x:c>
      <x:c r="D165" s="2"/>
    </x:row>
    <x:row r="166" ht="26" customHeight="1">
      <x:c r="A166" s="2" t="str">
        <x:v>R144</x:v>
      </x:c>
      <x:c r="B166" s="2" t="n">
        <x:f>IF(ISNUMBER('04_Отзывы'!E145),IF(AND('04_Отзывы'!E145&gt;=1,'04_Отзывы'!E145&lt;=5,MOD('04_Отзывы'!E145,1)=0),'04_Отзывы'!E145,""),"")</x:f>
        <x:v>3</x:v>
      </x:c>
      <x:c r="C166" s="2" t="n">
        <x:f>IF('04_Отзывы'!F145="да",1,IF('04_Отзывы'!F145="нет",0,""))</x:f>
        <x:v>0</x:v>
      </x:c>
      <x:c r="D166" s="2"/>
    </x:row>
    <x:row r="167" ht="26" customHeight="1">
      <x:c r="A167" s="2" t="str">
        <x:v>R145</x:v>
      </x:c>
      <x:c r="B167" s="2" t="n">
        <x:f>IF(ISNUMBER('04_Отзывы'!E146),IF(AND('04_Отзывы'!E146&gt;=1,'04_Отзывы'!E146&lt;=5,MOD('04_Отзывы'!E146,1)=0),'04_Отзывы'!E146,""),"")</x:f>
        <x:v>5</x:v>
      </x:c>
      <x:c r="C167" s="2" t="n">
        <x:f>IF('04_Отзывы'!F146="да",1,IF('04_Отзывы'!F146="нет",0,""))</x:f>
        <x:v>1</x:v>
      </x:c>
      <x:c r="D167" s="2"/>
    </x:row>
    <x:row r="168" ht="26" customHeight="1">
      <x:c r="A168" s="2" t="str">
        <x:v>R146</x:v>
      </x:c>
      <x:c r="B168" s="2" t="n">
        <x:f>IF(ISNUMBER('04_Отзывы'!E147),IF(AND('04_Отзывы'!E147&gt;=1,'04_Отзывы'!E147&lt;=5,MOD('04_Отзывы'!E147,1)=0),'04_Отзывы'!E147,""),"")</x:f>
        <x:v>5</x:v>
      </x:c>
      <x:c r="C168" s="2" t="n">
        <x:f>IF('04_Отзывы'!F147="да",1,IF('04_Отзывы'!F147="нет",0,""))</x:f>
        <x:v>1</x:v>
      </x:c>
      <x:c r="D168" s="2"/>
    </x:row>
    <x:row r="169" ht="26" customHeight="1">
      <x:c r="A169" s="2" t="str">
        <x:v>R147</x:v>
      </x:c>
      <x:c r="B169" s="2" t="n">
        <x:f>IF(ISNUMBER('04_Отзывы'!E148),IF(AND('04_Отзывы'!E148&gt;=1,'04_Отзывы'!E148&lt;=5,MOD('04_Отзывы'!E148,1)=0),'04_Отзывы'!E148,""),"")</x:f>
        <x:v>5</x:v>
      </x:c>
      <x:c r="C169" s="2" t="n">
        <x:f>IF('04_Отзывы'!F148="да",1,IF('04_Отзывы'!F148="нет",0,""))</x:f>
        <x:v>1</x:v>
      </x:c>
      <x:c r="D169" s="2"/>
    </x:row>
    <x:row r="170" ht="26" customHeight="1">
      <x:c r="A170" s="2" t="str">
        <x:v>R148</x:v>
      </x:c>
      <x:c r="B170" s="2" t="n">
        <x:f>IF(ISNUMBER('04_Отзывы'!E149),IF(AND('04_Отзывы'!E149&gt;=1,'04_Отзывы'!E149&lt;=5,MOD('04_Отзывы'!E149,1)=0),'04_Отзывы'!E149,""),"")</x:f>
        <x:v>5</x:v>
      </x:c>
      <x:c r="C170" s="2" t="n">
        <x:f>IF('04_Отзывы'!F149="да",1,IF('04_Отзывы'!F149="нет",0,""))</x:f>
        <x:v>1</x:v>
      </x:c>
      <x:c r="D170" s="2"/>
    </x:row>
    <x:row r="171" ht="26" customHeight="1">
      <x:c r="A171" s="2" t="str">
        <x:v>R149</x:v>
      </x:c>
      <x:c r="B171" s="2" t="n">
        <x:f>IF(ISNUMBER('04_Отзывы'!E150),IF(AND('04_Отзывы'!E150&gt;=1,'04_Отзывы'!E150&lt;=5,MOD('04_Отзывы'!E150,1)=0),'04_Отзывы'!E150,""),"")</x:f>
        <x:v>5</x:v>
      </x:c>
      <x:c r="C171" s="2" t="n">
        <x:f>IF('04_Отзывы'!F150="да",1,IF('04_Отзывы'!F150="нет",0,""))</x:f>
        <x:v>1</x:v>
      </x:c>
      <x:c r="D171" s="2"/>
    </x:row>
    <x:row r="172" ht="26" customHeight="1">
      <x:c r="A172" s="2" t="str">
        <x:v>R150</x:v>
      </x:c>
      <x:c r="B172" s="2" t="n">
        <x:f>IF(ISNUMBER('04_Отзывы'!E151),IF(AND('04_Отзывы'!E151&gt;=1,'04_Отзывы'!E151&lt;=5,MOD('04_Отзывы'!E151,1)=0),'04_Отзывы'!E151,""),"")</x:f>
        <x:v>5</x:v>
      </x:c>
      <x:c r="C172" s="2" t="n">
        <x:f>IF('04_Отзывы'!F151="да",1,IF('04_Отзывы'!F151="нет",0,""))</x:f>
        <x:v>1</x:v>
      </x:c>
      <x:c r="D172" s="2"/>
    </x:row>
    <x:row r="173" ht="26" customHeight="1">
      <x:c r="A173" s="2" t="str">
        <x:v>R151</x:v>
      </x:c>
      <x:c r="B173" s="2" t="n">
        <x:f>IF(ISNUMBER('04_Отзывы'!E152),IF(AND('04_Отзывы'!E152&gt;=1,'04_Отзывы'!E152&lt;=5,MOD('04_Отзывы'!E152,1)=0),'04_Отзывы'!E152,""),"")</x:f>
        <x:v>5</x:v>
      </x:c>
      <x:c r="C173" s="2" t="n">
        <x:f>IF('04_Отзывы'!F152="да",1,IF('04_Отзывы'!F152="нет",0,""))</x:f>
        <x:v>1</x:v>
      </x:c>
      <x:c r="D173" s="2"/>
    </x:row>
    <x:row r="174" ht="26" customHeight="1">
      <x:c r="A174" s="2" t="str">
        <x:v>R152</x:v>
      </x:c>
      <x:c r="B174" s="2" t="n">
        <x:f>IF(ISNUMBER('04_Отзывы'!E153),IF(AND('04_Отзывы'!E153&gt;=1,'04_Отзывы'!E153&lt;=5,MOD('04_Отзывы'!E153,1)=0),'04_Отзывы'!E153,""),"")</x:f>
        <x:v>5</x:v>
      </x:c>
      <x:c r="C174" s="2" t="n">
        <x:f>IF('04_Отзывы'!F153="да",1,IF('04_Отзывы'!F153="нет",0,""))</x:f>
        <x:v>1</x:v>
      </x:c>
      <x:c r="D174" s="2"/>
    </x:row>
    <x:row r="175" ht="26" customHeight="1">
      <x:c r="A175" s="2" t="str">
        <x:v>R153</x:v>
      </x:c>
      <x:c r="B175" s="2" t="n">
        <x:f>IF(ISNUMBER('04_Отзывы'!E154),IF(AND('04_Отзывы'!E154&gt;=1,'04_Отзывы'!E154&lt;=5,MOD('04_Отзывы'!E154,1)=0),'04_Отзывы'!E154,""),"")</x:f>
        <x:v>2</x:v>
      </x:c>
      <x:c r="C175" s="2" t="n">
        <x:f>IF('04_Отзывы'!F154="да",1,IF('04_Отзывы'!F154="нет",0,""))</x:f>
        <x:v>0</x:v>
      </x:c>
      <x:c r="D175" s="2"/>
    </x:row>
    <x:row r="176" ht="26" customHeight="1">
      <x:c r="A176" s="2" t="str">
        <x:v>R154</x:v>
      </x:c>
      <x:c r="B176" s="2" t="n">
        <x:f>IF(ISNUMBER('04_Отзывы'!E155),IF(AND('04_Отзывы'!E155&gt;=1,'04_Отзывы'!E155&lt;=5,MOD('04_Отзывы'!E155,1)=0),'04_Отзывы'!E155,""),"")</x:f>
        <x:v>2</x:v>
      </x:c>
      <x:c r="C176" s="2" t="n">
        <x:f>IF('04_Отзывы'!F155="да",1,IF('04_Отзывы'!F155="нет",0,""))</x:f>
        <x:v>0</x:v>
      </x:c>
      <x:c r="D176" s="2"/>
    </x:row>
    <x:row r="177" ht="26" customHeight="1">
      <x:c r="A177" s="2" t="str">
        <x:v>R155</x:v>
      </x:c>
      <x:c r="B177" s="2" t="n">
        <x:f>IF(ISNUMBER('04_Отзывы'!E156),IF(AND('04_Отзывы'!E156&gt;=1,'04_Отзывы'!E156&lt;=5,MOD('04_Отзывы'!E156,1)=0),'04_Отзывы'!E156,""),"")</x:f>
        <x:v>2</x:v>
      </x:c>
      <x:c r="C177" s="2" t="n">
        <x:f>IF('04_Отзывы'!F156="да",1,IF('04_Отзывы'!F156="нет",0,""))</x:f>
        <x:v>0</x:v>
      </x:c>
      <x:c r="D177" s="2"/>
    </x:row>
    <x:row r="178" ht="26" customHeight="1">
      <x:c r="A178" s="2" t="str">
        <x:v>R156</x:v>
      </x:c>
      <x:c r="B178" s="2" t="n">
        <x:f>IF(ISNUMBER('04_Отзывы'!E157),IF(AND('04_Отзывы'!E157&gt;=1,'04_Отзывы'!E157&lt;=5,MOD('04_Отзывы'!E157,1)=0),'04_Отзывы'!E157,""),"")</x:f>
        <x:v>2</x:v>
      </x:c>
      <x:c r="C178" s="2" t="n">
        <x:f>IF('04_Отзывы'!F157="да",1,IF('04_Отзывы'!F157="нет",0,""))</x:f>
        <x:v>0</x:v>
      </x:c>
      <x:c r="D178" s="2"/>
    </x:row>
    <x:row r="179" ht="26" customHeight="1">
      <x:c r="A179" s="2" t="str">
        <x:v>R157</x:v>
      </x:c>
      <x:c r="B179" s="2" t="n">
        <x:f>IF(ISNUMBER('04_Отзывы'!E158),IF(AND('04_Отзывы'!E158&gt;=1,'04_Отзывы'!E158&lt;=5,MOD('04_Отзывы'!E158,1)=0),'04_Отзывы'!E158,""),"")</x:f>
        <x:v>2</x:v>
      </x:c>
      <x:c r="C179" s="2" t="n">
        <x:f>IF('04_Отзывы'!F158="да",1,IF('04_Отзывы'!F158="нет",0,""))</x:f>
        <x:v>0</x:v>
      </x:c>
      <x:c r="D179" s="2"/>
    </x:row>
    <x:row r="180" ht="26" customHeight="1">
      <x:c r="A180" s="2" t="str">
        <x:v>R158</x:v>
      </x:c>
      <x:c r="B180" s="2" t="n">
        <x:f>IF(ISNUMBER('04_Отзывы'!E159),IF(AND('04_Отзывы'!E159&gt;=1,'04_Отзывы'!E159&lt;=5,MOD('04_Отзывы'!E159,1)=0),'04_Отзывы'!E159,""),"")</x:f>
        <x:v>2</x:v>
      </x:c>
      <x:c r="C180" s="2" t="n">
        <x:f>IF('04_Отзывы'!F159="да",1,IF('04_Отзывы'!F159="нет",0,""))</x:f>
        <x:v>0</x:v>
      </x:c>
      <x:c r="D180" s="2"/>
    </x:row>
    <x:row r="181" ht="26" customHeight="1">
      <x:c r="A181" s="2" t="str">
        <x:v>R159</x:v>
      </x:c>
      <x:c r="B181" s="2" t="n">
        <x:f>IF(ISNUMBER('04_Отзывы'!E160),IF(AND('04_Отзывы'!E160&gt;=1,'04_Отзывы'!E160&lt;=5,MOD('04_Отзывы'!E160,1)=0),'04_Отзывы'!E160,""),"")</x:f>
        <x:v>2</x:v>
      </x:c>
      <x:c r="C181" s="2" t="n">
        <x:f>IF('04_Отзывы'!F160="да",1,IF('04_Отзывы'!F160="нет",0,""))</x:f>
        <x:v>0</x:v>
      </x:c>
      <x:c r="D181" s="2"/>
    </x:row>
    <x:row r="182" ht="26" customHeight="1">
      <x:c r="A182" s="2" t="str">
        <x:v>R160</x:v>
      </x:c>
      <x:c r="B182" s="2" t="n">
        <x:f>IF(ISNUMBER('04_Отзывы'!E161),IF(AND('04_Отзывы'!E161&gt;=1,'04_Отзывы'!E161&lt;=5,MOD('04_Отзывы'!E161,1)=0),'04_Отзывы'!E161,""),"")</x:f>
        <x:v>3</x:v>
      </x:c>
      <x:c r="C182" s="2" t="n">
        <x:f>IF('04_Отзывы'!F161="да",1,IF('04_Отзывы'!F161="нет",0,""))</x:f>
        <x:v>0</x:v>
      </x:c>
      <x:c r="D182" s="2"/>
    </x:row>
    <x:row r="183" ht="26" customHeight="1">
      <x:c r="A183" s="2" t="str">
        <x:v>R161</x:v>
      </x:c>
      <x:c r="B183" s="2" t="n">
        <x:f>IF(ISNUMBER('04_Отзывы'!E162),IF(AND('04_Отзывы'!E162&gt;=1,'04_Отзывы'!E162&lt;=5,MOD('04_Отзывы'!E162,1)=0),'04_Отзывы'!E162,""),"")</x:f>
        <x:v>3</x:v>
      </x:c>
      <x:c r="C183" s="2" t="n">
        <x:f>IF('04_Отзывы'!F162="да",1,IF('04_Отзывы'!F162="нет",0,""))</x:f>
        <x:v>0</x:v>
      </x:c>
      <x:c r="D183" s="2"/>
    </x:row>
    <x:row r="184" ht="26" customHeight="1">
      <x:c r="A184" s="2" t="str">
        <x:v>R162</x:v>
      </x:c>
      <x:c r="B184" s="2" t="n">
        <x:f>IF(ISNUMBER('04_Отзывы'!E163),IF(AND('04_Отзывы'!E163&gt;=1,'04_Отзывы'!E163&lt;=5,MOD('04_Отзывы'!E163,1)=0),'04_Отзывы'!E163,""),"")</x:f>
        <x:v>3</x:v>
      </x:c>
      <x:c r="C184" s="2" t="n">
        <x:f>IF('04_Отзывы'!F163="да",1,IF('04_Отзывы'!F163="нет",0,""))</x:f>
        <x:v>0</x:v>
      </x:c>
      <x:c r="D184" s="2"/>
    </x:row>
    <x:row r="185" ht="26" customHeight="1">
      <x:c r="A185" s="2" t="str">
        <x:v>R163</x:v>
      </x:c>
      <x:c r="B185" s="2" t="n">
        <x:f>IF(ISNUMBER('04_Отзывы'!E164),IF(AND('04_Отзывы'!E164&gt;=1,'04_Отзывы'!E164&lt;=5,MOD('04_Отзывы'!E164,1)=0),'04_Отзывы'!E164,""),"")</x:f>
        <x:v>4</x:v>
      </x:c>
      <x:c r="C185" s="2" t="n">
        <x:f>IF('04_Отзывы'!F164="да",1,IF('04_Отзывы'!F164="нет",0,""))</x:f>
        <x:v>1</x:v>
      </x:c>
      <x:c r="D185" s="2"/>
    </x:row>
    <x:row r="186" ht="26" customHeight="1">
      <x:c r="A186" s="2" t="str">
        <x:v>R164</x:v>
      </x:c>
      <x:c r="B186" s="2" t="n">
        <x:f>IF(ISNUMBER('04_Отзывы'!E165),IF(AND('04_Отзывы'!E165&gt;=1,'04_Отзывы'!E165&lt;=5,MOD('04_Отзывы'!E165,1)=0),'04_Отзывы'!E165,""),"")</x:f>
        <x:v>4</x:v>
      </x:c>
      <x:c r="C186" s="2" t="n">
        <x:f>IF('04_Отзывы'!F165="да",1,IF('04_Отзывы'!F165="нет",0,""))</x:f>
        <x:v>1</x:v>
      </x:c>
      <x:c r="D186" s="2"/>
    </x:row>
    <x:row r="187" ht="26" customHeight="1">
      <x:c r="A187" s="2" t="str">
        <x:v>R165</x:v>
      </x:c>
      <x:c r="B187" s="2" t="n">
        <x:f>IF(ISNUMBER('04_Отзывы'!E166),IF(AND('04_Отзывы'!E166&gt;=1,'04_Отзывы'!E166&lt;=5,MOD('04_Отзывы'!E166,1)=0),'04_Отзывы'!E166,""),"")</x:f>
        <x:v>3</x:v>
      </x:c>
      <x:c r="C187" s="2" t="n">
        <x:f>IF('04_Отзывы'!F166="да",1,IF('04_Отзывы'!F166="нет",0,""))</x:f>
        <x:v>0</x:v>
      </x:c>
      <x:c r="D187" s="2"/>
    </x:row>
    <x:row r="188" ht="26" customHeight="1">
      <x:c r="A188" s="2" t="str">
        <x:v>R166</x:v>
      </x:c>
      <x:c r="B188" s="2" t="n">
        <x:f>IF(ISNUMBER('04_Отзывы'!E167),IF(AND('04_Отзывы'!E167&gt;=1,'04_Отзывы'!E167&lt;=5,MOD('04_Отзывы'!E167,1)=0),'04_Отзывы'!E167,""),"")</x:f>
        <x:v>4</x:v>
      </x:c>
      <x:c r="C188" s="2" t="n">
        <x:f>IF('04_Отзывы'!F167="да",1,IF('04_Отзывы'!F167="нет",0,""))</x:f>
        <x:v>1</x:v>
      </x:c>
      <x:c r="D188" s="2"/>
    </x:row>
    <x:row r="189" ht="26" customHeight="1">
      <x:c r="A189" s="2" t="str">
        <x:v>R167</x:v>
      </x:c>
      <x:c r="B189" s="2" t="n">
        <x:f>IF(ISNUMBER('04_Отзывы'!E168),IF(AND('04_Отзывы'!E168&gt;=1,'04_Отзывы'!E168&lt;=5,MOD('04_Отзывы'!E168,1)=0),'04_Отзывы'!E168,""),"")</x:f>
        <x:v>3</x:v>
      </x:c>
      <x:c r="C189" s="2" t="n">
        <x:f>IF('04_Отзывы'!F168="да",1,IF('04_Отзывы'!F168="нет",0,""))</x:f>
        <x:v>0</x:v>
      </x:c>
      <x:c r="D189" s="2"/>
    </x:row>
    <x:row r="190" ht="26" customHeight="1">
      <x:c r="A190" s="2" t="str">
        <x:v>R168</x:v>
      </x:c>
      <x:c r="B190" s="2" t="n">
        <x:f>IF(ISNUMBER('04_Отзывы'!E169),IF(AND('04_Отзывы'!E169&gt;=1,'04_Отзывы'!E169&lt;=5,MOD('04_Отзывы'!E169,1)=0),'04_Отзывы'!E169,""),"")</x:f>
        <x:v>3</x:v>
      </x:c>
      <x:c r="C190" s="2" t="n">
        <x:f>IF('04_Отзывы'!F169="да",1,IF('04_Отзывы'!F169="нет",0,""))</x:f>
        <x:v>0</x:v>
      </x:c>
      <x:c r="D190" s="2"/>
    </x:row>
    <x:row r="191" ht="26" customHeight="1">
      <x:c r="A191" s="2" t="str">
        <x:v>R169</x:v>
      </x:c>
      <x:c r="B191" s="2" t="n">
        <x:f>IF(ISNUMBER('04_Отзывы'!E170),IF(AND('04_Отзывы'!E170&gt;=1,'04_Отзывы'!E170&lt;=5,MOD('04_Отзывы'!E170,1)=0),'04_Отзывы'!E170,""),"")</x:f>
        <x:v>5</x:v>
      </x:c>
      <x:c r="C191" s="2" t="n">
        <x:f>IF('04_Отзывы'!F170="да",1,IF('04_Отзывы'!F170="нет",0,""))</x:f>
        <x:v>1</x:v>
      </x:c>
      <x:c r="D191" s="2"/>
    </x:row>
    <x:row r="192" ht="26" customHeight="1">
      <x:c r="A192" s="2" t="str">
        <x:v>R170</x:v>
      </x:c>
      <x:c r="B192" s="2" t="n">
        <x:f>IF(ISNUMBER('04_Отзывы'!E171),IF(AND('04_Отзывы'!E171&gt;=1,'04_Отзывы'!E171&lt;=5,MOD('04_Отзывы'!E171,1)=0),'04_Отзывы'!E171,""),"")</x:f>
        <x:v>5</x:v>
      </x:c>
      <x:c r="C192" s="2" t="n">
        <x:f>IF('04_Отзывы'!F171="да",1,IF('04_Отзывы'!F171="нет",0,""))</x:f>
        <x:v>1</x:v>
      </x:c>
      <x:c r="D192" s="2"/>
    </x:row>
    <x:row r="193" ht="26" customHeight="1">
      <x:c r="A193" s="2" t="str">
        <x:v>R171</x:v>
      </x:c>
      <x:c r="B193" s="2" t="n">
        <x:f>IF(ISNUMBER('04_Отзывы'!E172),IF(AND('04_Отзывы'!E172&gt;=1,'04_Отзывы'!E172&lt;=5,MOD('04_Отзывы'!E172,1)=0),'04_Отзывы'!E172,""),"")</x:f>
        <x:v>5</x:v>
      </x:c>
      <x:c r="C193" s="2" t="str">
        <x:f>IF('04_Отзывы'!F172="да",1,IF('04_Отзывы'!F172="нет",0,""))</x:f>
      </x:c>
      <x:c r="D193" s="2"/>
    </x:row>
    <x:row r="194" ht="26" customHeight="1">
      <x:c r="A194" s="2" t="str">
        <x:v>R172</x:v>
      </x:c>
      <x:c r="B194" s="2" t="n">
        <x:f>IF(ISNUMBER('04_Отзывы'!E173),IF(AND('04_Отзывы'!E173&gt;=1,'04_Отзывы'!E173&lt;=5,MOD('04_Отзывы'!E173,1)=0),'04_Отзывы'!E173,""),"")</x:f>
        <x:v>5</x:v>
      </x:c>
      <x:c r="C194" s="2" t="n">
        <x:f>IF('04_Отзывы'!F173="да",1,IF('04_Отзывы'!F173="нет",0,""))</x:f>
        <x:v>1</x:v>
      </x:c>
      <x:c r="D194" s="2"/>
    </x:row>
    <x:row r="195" ht="26" customHeight="1">
      <x:c r="A195" s="2" t="str">
        <x:v>R173</x:v>
      </x:c>
      <x:c r="B195" s="2" t="n">
        <x:f>IF(ISNUMBER('04_Отзывы'!E174),IF(AND('04_Отзывы'!E174&gt;=1,'04_Отзывы'!E174&lt;=5,MOD('04_Отзывы'!E174,1)=0),'04_Отзывы'!E174,""),"")</x:f>
        <x:v>5</x:v>
      </x:c>
      <x:c r="C195" s="2" t="n">
        <x:f>IF('04_Отзывы'!F174="да",1,IF('04_Отзывы'!F174="нет",0,""))</x:f>
        <x:v>1</x:v>
      </x:c>
      <x:c r="D195" s="2"/>
    </x:row>
    <x:row r="196" ht="26" customHeight="1">
      <x:c r="A196" s="2" t="str">
        <x:v>R174</x:v>
      </x:c>
      <x:c r="B196" s="2" t="n">
        <x:f>IF(ISNUMBER('04_Отзывы'!E175),IF(AND('04_Отзывы'!E175&gt;=1,'04_Отзывы'!E175&lt;=5,MOD('04_Отзывы'!E175,1)=0),'04_Отзывы'!E175,""),"")</x:f>
        <x:v>5</x:v>
      </x:c>
      <x:c r="C196" s="2" t="n">
        <x:f>IF('04_Отзывы'!F175="да",1,IF('04_Отзывы'!F175="нет",0,""))</x:f>
        <x:v>1</x:v>
      </x:c>
      <x:c r="D196" s="2"/>
    </x:row>
    <x:row r="197" ht="26" customHeight="1">
      <x:c r="A197" s="2" t="str">
        <x:v>R175</x:v>
      </x:c>
      <x:c r="B197" s="2" t="n">
        <x:f>IF(ISNUMBER('04_Отзывы'!E176),IF(AND('04_Отзывы'!E176&gt;=1,'04_Отзывы'!E176&lt;=5,MOD('04_Отзывы'!E176,1)=0),'04_Отзывы'!E176,""),"")</x:f>
        <x:v>5</x:v>
      </x:c>
      <x:c r="C197" s="2" t="n">
        <x:f>IF('04_Отзывы'!F176="да",1,IF('04_Отзывы'!F176="нет",0,""))</x:f>
        <x:v>1</x:v>
      </x:c>
      <x:c r="D197" s="2"/>
    </x:row>
    <x:row r="198" ht="26" customHeight="1">
      <x:c r="A198" s="2" t="str">
        <x:v>R176</x:v>
      </x:c>
      <x:c r="B198" s="2" t="n">
        <x:f>IF(ISNUMBER('04_Отзывы'!E177),IF(AND('04_Отзывы'!E177&gt;=1,'04_Отзывы'!E177&lt;=5,MOD('04_Отзывы'!E177,1)=0),'04_Отзывы'!E177,""),"")</x:f>
        <x:v>5</x:v>
      </x:c>
      <x:c r="C198" s="2" t="n">
        <x:f>IF('04_Отзывы'!F177="да",1,IF('04_Отзывы'!F177="нет",0,""))</x:f>
        <x:v>1</x:v>
      </x:c>
      <x:c r="D198" s="2"/>
    </x:row>
    <x:row r="199" ht="26" customHeight="1">
      <x:c r="A199" s="2" t="str">
        <x:v>R177</x:v>
      </x:c>
      <x:c r="B199" s="2" t="n">
        <x:f>IF(ISNUMBER('04_Отзывы'!E178),IF(AND('04_Отзывы'!E178&gt;=1,'04_Отзывы'!E178&lt;=5,MOD('04_Отзывы'!E178,1)=0),'04_Отзывы'!E178,""),"")</x:f>
        <x:v>2</x:v>
      </x:c>
      <x:c r="C199" s="2" t="n">
        <x:f>IF('04_Отзывы'!F178="да",1,IF('04_Отзывы'!F178="нет",0,""))</x:f>
        <x:v>0</x:v>
      </x:c>
      <x:c r="D199" s="2"/>
    </x:row>
    <x:row r="200" ht="26" customHeight="1">
      <x:c r="A200" s="2" t="str">
        <x:v>R178</x:v>
      </x:c>
      <x:c r="B200" s="2" t="n">
        <x:f>IF(ISNUMBER('04_Отзывы'!E179),IF(AND('04_Отзывы'!E179&gt;=1,'04_Отзывы'!E179&lt;=5,MOD('04_Отзывы'!E179,1)=0),'04_Отзывы'!E179,""),"")</x:f>
        <x:v>2</x:v>
      </x:c>
      <x:c r="C200" s="2" t="n">
        <x:f>IF('04_Отзывы'!F179="да",1,IF('04_Отзывы'!F179="нет",0,""))</x:f>
        <x:v>0</x:v>
      </x:c>
      <x:c r="D200" s="2"/>
    </x:row>
    <x:row r="201" ht="26" customHeight="1">
      <x:c r="A201" s="2" t="str">
        <x:v>R179</x:v>
      </x:c>
      <x:c r="B201" s="2" t="n">
        <x:f>IF(ISNUMBER('04_Отзывы'!E180),IF(AND('04_Отзывы'!E180&gt;=1,'04_Отзывы'!E180&lt;=5,MOD('04_Отзывы'!E180,1)=0),'04_Отзывы'!E180,""),"")</x:f>
        <x:v>2</x:v>
      </x:c>
      <x:c r="C201" s="2" t="n">
        <x:f>IF('04_Отзывы'!F180="да",1,IF('04_Отзывы'!F180="нет",0,""))</x:f>
        <x:v>0</x:v>
      </x:c>
      <x:c r="D201" s="2"/>
    </x:row>
    <x:row r="202" ht="26" customHeight="1">
      <x:c r="A202" s="2" t="str">
        <x:v>R180</x:v>
      </x:c>
      <x:c r="B202" s="2" t="str">
        <x:f>IF(ISNUMBER('04_Отзывы'!E181),IF(AND('04_Отзывы'!E181&gt;=1,'04_Отзывы'!E181&lt;=5,MOD('04_Отзывы'!E181,1)=0),'04_Отзывы'!E181,""),"")</x:f>
      </x:c>
      <x:c r="C202" s="2" t="n">
        <x:f>IF('04_Отзывы'!F181="да",1,IF('04_Отзывы'!F181="нет",0,""))</x:f>
        <x:v>0</x:v>
      </x:c>
      <x:c r="D202" s="2"/>
    </x:row>
    <x:row r="203" ht="26" customHeight="1">
      <x:c r="A203" s="2" t="str">
        <x:v>R181</x:v>
      </x:c>
      <x:c r="B203" s="2" t="n">
        <x:f>IF(ISNUMBER('04_Отзывы'!E182),IF(AND('04_Отзывы'!E182&gt;=1,'04_Отзывы'!E182&lt;=5,MOD('04_Отзывы'!E182,1)=0),'04_Отзывы'!E182,""),"")</x:f>
        <x:v>2</x:v>
      </x:c>
      <x:c r="C203" s="2" t="n">
        <x:f>IF('04_Отзывы'!F182="да",1,IF('04_Отзывы'!F182="нет",0,""))</x:f>
        <x:v>0</x:v>
      </x:c>
      <x:c r="D203" s="2"/>
    </x:row>
    <x:row r="204" ht="26" customHeight="1">
      <x:c r="A204" s="2" t="str">
        <x:v>R182</x:v>
      </x:c>
      <x:c r="B204" s="2" t="n">
        <x:f>IF(ISNUMBER('04_Отзывы'!E183),IF(AND('04_Отзывы'!E183&gt;=1,'04_Отзывы'!E183&lt;=5,MOD('04_Отзывы'!E183,1)=0),'04_Отзывы'!E183,""),"")</x:f>
        <x:v>2</x:v>
      </x:c>
      <x:c r="C204" s="2" t="n">
        <x:f>IF('04_Отзывы'!F183="да",1,IF('04_Отзывы'!F183="нет",0,""))</x:f>
        <x:v>0</x:v>
      </x:c>
      <x:c r="D204" s="2"/>
    </x:row>
    <x:row r="205" ht="26" customHeight="1">
      <x:c r="A205" s="2" t="str">
        <x:v>R183</x:v>
      </x:c>
      <x:c r="B205" s="2" t="n">
        <x:f>IF(ISNUMBER('04_Отзывы'!E184),IF(AND('04_Отзывы'!E184&gt;=1,'04_Отзывы'!E184&lt;=5,MOD('04_Отзывы'!E184,1)=0),'04_Отзывы'!E184,""),"")</x:f>
        <x:v>2</x:v>
      </x:c>
      <x:c r="C205" s="2" t="n">
        <x:f>IF('04_Отзывы'!F184="да",1,IF('04_Отзывы'!F184="нет",0,""))</x:f>
        <x:v>0</x:v>
      </x:c>
      <x:c r="D205" s="2"/>
    </x:row>
    <x:row r="206" ht="26" customHeight="1">
      <x:c r="A206" s="2" t="str">
        <x:v>R184</x:v>
      </x:c>
      <x:c r="B206" s="2" t="n">
        <x:f>IF(ISNUMBER('04_Отзывы'!E185),IF(AND('04_Отзывы'!E185&gt;=1,'04_Отзывы'!E185&lt;=5,MOD('04_Отзывы'!E185,1)=0),'04_Отзывы'!E185,""),"")</x:f>
        <x:v>3</x:v>
      </x:c>
      <x:c r="C206" s="2" t="n">
        <x:f>IF('04_Отзывы'!F185="да",1,IF('04_Отзывы'!F185="нет",0,""))</x:f>
        <x:v>0</x:v>
      </x:c>
      <x:c r="D206" s="2"/>
    </x:row>
    <x:row r="207" ht="26" customHeight="1">
      <x:c r="A207" s="2" t="str">
        <x:v>R185</x:v>
      </x:c>
      <x:c r="B207" s="2" t="n">
        <x:f>IF(ISNUMBER('04_Отзывы'!E186),IF(AND('04_Отзывы'!E186&gt;=1,'04_Отзывы'!E186&lt;=5,MOD('04_Отзывы'!E186,1)=0),'04_Отзывы'!E186,""),"")</x:f>
        <x:v>3</x:v>
      </x:c>
      <x:c r="C207" s="2" t="n">
        <x:f>IF('04_Отзывы'!F186="да",1,IF('04_Отзывы'!F186="нет",0,""))</x:f>
        <x:v>0</x:v>
      </x:c>
      <x:c r="D207" s="2"/>
    </x:row>
    <x:row r="208" ht="26" customHeight="1">
      <x:c r="A208" s="2" t="str">
        <x:v>R186</x:v>
      </x:c>
      <x:c r="B208" s="2" t="n">
        <x:f>IF(ISNUMBER('04_Отзывы'!E187),IF(AND('04_Отзывы'!E187&gt;=1,'04_Отзывы'!E187&lt;=5,MOD('04_Отзывы'!E187,1)=0),'04_Отзывы'!E187,""),"")</x:f>
        <x:v>3</x:v>
      </x:c>
      <x:c r="C208" s="2" t="n">
        <x:f>IF('04_Отзывы'!F187="да",1,IF('04_Отзывы'!F187="нет",0,""))</x:f>
        <x:v>0</x:v>
      </x:c>
      <x:c r="D208" s="2"/>
    </x:row>
    <x:row r="209" ht="26" customHeight="1">
      <x:c r="A209" s="2" t="str">
        <x:v>R187</x:v>
      </x:c>
      <x:c r="B209" s="2" t="n">
        <x:f>IF(ISNUMBER('04_Отзывы'!E188),IF(AND('04_Отзывы'!E188&gt;=1,'04_Отзывы'!E188&lt;=5,MOD('04_Отзывы'!E188,1)=0),'04_Отзывы'!E188,""),"")</x:f>
        <x:v>4</x:v>
      </x:c>
      <x:c r="C209" s="2" t="n">
        <x:f>IF('04_Отзывы'!F188="да",1,IF('04_Отзывы'!F188="нет",0,""))</x:f>
        <x:v>1</x:v>
      </x:c>
      <x:c r="D209" s="2"/>
    </x:row>
    <x:row r="210" ht="26" customHeight="1">
      <x:c r="A210" s="2" t="str">
        <x:v>R188</x:v>
      </x:c>
      <x:c r="B210" s="2" t="n">
        <x:f>IF(ISNUMBER('04_Отзывы'!E189),IF(AND('04_Отзывы'!E189&gt;=1,'04_Отзывы'!E189&lt;=5,MOD('04_Отзывы'!E189,1)=0),'04_Отзывы'!E189,""),"")</x:f>
        <x:v>4</x:v>
      </x:c>
      <x:c r="C210" s="2" t="n">
        <x:f>IF('04_Отзывы'!F189="да",1,IF('04_Отзывы'!F189="нет",0,""))</x:f>
        <x:v>1</x:v>
      </x:c>
      <x:c r="D210" s="2"/>
    </x:row>
    <x:row r="211" ht="26" customHeight="1">
      <x:c r="A211" s="2" t="str">
        <x:v>R189</x:v>
      </x:c>
      <x:c r="B211" s="2" t="n">
        <x:f>IF(ISNUMBER('04_Отзывы'!E190),IF(AND('04_Отзывы'!E190&gt;=1,'04_Отзывы'!E190&lt;=5,MOD('04_Отзывы'!E190,1)=0),'04_Отзывы'!E190,""),"")</x:f>
        <x:v>3</x:v>
      </x:c>
      <x:c r="C211" s="2" t="n">
        <x:f>IF('04_Отзывы'!F190="да",1,IF('04_Отзывы'!F190="нет",0,""))</x:f>
        <x:v>0</x:v>
      </x:c>
      <x:c r="D211" s="2"/>
    </x:row>
    <x:row r="212" ht="26" customHeight="1">
      <x:c r="A212" s="2" t="str">
        <x:v>R190</x:v>
      </x:c>
      <x:c r="B212" s="2" t="n">
        <x:f>IF(ISNUMBER('04_Отзывы'!E191),IF(AND('04_Отзывы'!E191&gt;=1,'04_Отзывы'!E191&lt;=5,MOD('04_Отзывы'!E191,1)=0),'04_Отзывы'!E191,""),"")</x:f>
        <x:v>4</x:v>
      </x:c>
      <x:c r="C212" s="2" t="n">
        <x:f>IF('04_Отзывы'!F191="да",1,IF('04_Отзывы'!F191="нет",0,""))</x:f>
        <x:v>1</x:v>
      </x:c>
      <x:c r="D212" s="2"/>
    </x:row>
    <x:row r="213" ht="26" customHeight="1">
      <x:c r="A213" s="2" t="str">
        <x:v>R191</x:v>
      </x:c>
      <x:c r="B213" s="2" t="n">
        <x:f>IF(ISNUMBER('04_Отзывы'!E192),IF(AND('04_Отзывы'!E192&gt;=1,'04_Отзывы'!E192&lt;=5,MOD('04_Отзывы'!E192,1)=0),'04_Отзывы'!E192,""),"")</x:f>
        <x:v>3</x:v>
      </x:c>
      <x:c r="C213" s="2" t="n">
        <x:f>IF('04_Отзывы'!F192="да",1,IF('04_Отзывы'!F192="нет",0,""))</x:f>
        <x:v>0</x:v>
      </x:c>
      <x:c r="D213" s="2"/>
    </x:row>
    <x:row r="214" ht="26" customHeight="1">
      <x:c r="A214" s="2" t="str">
        <x:v>R192</x:v>
      </x:c>
      <x:c r="B214" s="2" t="n">
        <x:f>IF(ISNUMBER('04_Отзывы'!E193),IF(AND('04_Отзывы'!E193&gt;=1,'04_Отзывы'!E193&lt;=5,MOD('04_Отзывы'!E193,1)=0),'04_Отзывы'!E193,""),"")</x:f>
        <x:v>3</x:v>
      </x:c>
      <x:c r="C214" s="2" t="n">
        <x:f>IF('04_Отзывы'!F193="да",1,IF('04_Отзывы'!F193="нет",0,""))</x:f>
        <x:v>0</x:v>
      </x:c>
      <x:c r="D214" s="2"/>
    </x:row>
    <x:row r="215" ht="26" customHeight="1">
      <x:c r="A215" s="2" t="str">
        <x:v>R193</x:v>
      </x:c>
      <x:c r="B215" s="2" t="n">
        <x:f>IF(ISNUMBER('04_Отзывы'!E194),IF(AND('04_Отзывы'!E194&gt;=1,'04_Отзывы'!E194&lt;=5,MOD('04_Отзывы'!E194,1)=0),'04_Отзывы'!E194,""),"")</x:f>
        <x:v>5</x:v>
      </x:c>
      <x:c r="C215" s="2" t="n">
        <x:f>IF('04_Отзывы'!F194="да",1,IF('04_Отзывы'!F194="нет",0,""))</x:f>
        <x:v>1</x:v>
      </x:c>
      <x:c r="D215" s="2"/>
    </x:row>
    <x:row r="216" ht="26" customHeight="1">
      <x:c r="A216" s="2" t="str">
        <x:v>R194</x:v>
      </x:c>
      <x:c r="B216" s="2" t="n">
        <x:f>IF(ISNUMBER('04_Отзывы'!E195),IF(AND('04_Отзывы'!E195&gt;=1,'04_Отзывы'!E195&lt;=5,MOD('04_Отзывы'!E195,1)=0),'04_Отзывы'!E195,""),"")</x:f>
        <x:v>5</x:v>
      </x:c>
      <x:c r="C216" s="2" t="n">
        <x:f>IF('04_Отзывы'!F195="да",1,IF('04_Отзывы'!F195="нет",0,""))</x:f>
        <x:v>1</x:v>
      </x:c>
      <x:c r="D216" s="2"/>
    </x:row>
    <x:row r="217" ht="26" customHeight="1">
      <x:c r="A217" s="2" t="str">
        <x:v>R195</x:v>
      </x:c>
      <x:c r="B217" s="2" t="n">
        <x:f>IF(ISNUMBER('04_Отзывы'!E196),IF(AND('04_Отзывы'!E196&gt;=1,'04_Отзывы'!E196&lt;=5,MOD('04_Отзывы'!E196,1)=0),'04_Отзывы'!E196,""),"")</x:f>
        <x:v>5</x:v>
      </x:c>
      <x:c r="C217" s="2" t="n">
        <x:f>IF('04_Отзывы'!F196="да",1,IF('04_Отзывы'!F196="нет",0,""))</x:f>
        <x:v>1</x:v>
      </x:c>
      <x:c r="D217" s="2"/>
    </x:row>
    <x:row r="218" ht="26" customHeight="1">
      <x:c r="A218" s="2" t="str">
        <x:v>R196</x:v>
      </x:c>
      <x:c r="B218" s="2" t="n">
        <x:f>IF(ISNUMBER('04_Отзывы'!E197),IF(AND('04_Отзывы'!E197&gt;=1,'04_Отзывы'!E197&lt;=5,MOD('04_Отзывы'!E197,1)=0),'04_Отзывы'!E197,""),"")</x:f>
        <x:v>5</x:v>
      </x:c>
      <x:c r="C218" s="2" t="n">
        <x:f>IF('04_Отзывы'!F197="да",1,IF('04_Отзывы'!F197="нет",0,""))</x:f>
        <x:v>1</x:v>
      </x:c>
      <x:c r="D218" s="2"/>
    </x:row>
    <x:row r="219" ht="26" customHeight="1">
      <x:c r="A219" s="2" t="str">
        <x:v>R197</x:v>
      </x:c>
      <x:c r="B219" s="2" t="n">
        <x:f>IF(ISNUMBER('04_Отзывы'!E198),IF(AND('04_Отзывы'!E198&gt;=1,'04_Отзывы'!E198&lt;=5,MOD('04_Отзывы'!E198,1)=0),'04_Отзывы'!E198,""),"")</x:f>
        <x:v>5</x:v>
      </x:c>
      <x:c r="C219" s="2" t="n">
        <x:f>IF('04_Отзывы'!F198="да",1,IF('04_Отзывы'!F198="нет",0,""))</x:f>
        <x:v>1</x:v>
      </x:c>
      <x:c r="D219" s="2"/>
    </x:row>
    <x:row r="220" ht="26" customHeight="1">
      <x:c r="A220" s="2" t="str">
        <x:v>R198</x:v>
      </x:c>
      <x:c r="B220" s="2" t="n">
        <x:f>IF(ISNUMBER('04_Отзывы'!E199),IF(AND('04_Отзывы'!E199&gt;=1,'04_Отзывы'!E199&lt;=5,MOD('04_Отзывы'!E199,1)=0),'04_Отзывы'!E199,""),"")</x:f>
        <x:v>5</x:v>
      </x:c>
      <x:c r="C220" s="2" t="n">
        <x:f>IF('04_Отзывы'!F199="да",1,IF('04_Отзывы'!F199="нет",0,""))</x:f>
        <x:v>1</x:v>
      </x:c>
      <x:c r="D220" s="2"/>
    </x:row>
    <x:row r="221" ht="26" customHeight="1">
      <x:c r="A221" s="2" t="str">
        <x:v>R199</x:v>
      </x:c>
      <x:c r="B221" s="2" t="n">
        <x:f>IF(ISNUMBER('04_Отзывы'!E200),IF(AND('04_Отзывы'!E200&gt;=1,'04_Отзывы'!E200&lt;=5,MOD('04_Отзывы'!E200,1)=0),'04_Отзывы'!E200,""),"")</x:f>
        <x:v>5</x:v>
      </x:c>
      <x:c r="C221" s="2" t="n">
        <x:f>IF('04_Отзывы'!F200="да",1,IF('04_Отзывы'!F200="нет",0,""))</x:f>
        <x:v>1</x:v>
      </x:c>
      <x:c r="D221" s="2"/>
    </x:row>
    <x:row r="222" ht="26" customHeight="1">
      <x:c r="A222" s="2" t="str">
        <x:v>R200</x:v>
      </x:c>
      <x:c r="B222" s="2" t="n">
        <x:f>IF(ISNUMBER('04_Отзывы'!E201),IF(AND('04_Отзывы'!E201&gt;=1,'04_Отзывы'!E201&lt;=5,MOD('04_Отзывы'!E201,1)=0),'04_Отзывы'!E201,""),"")</x:f>
        <x:v>5</x:v>
      </x:c>
      <x:c r="C222" s="2" t="n">
        <x:f>IF('04_Отзывы'!F201="да",1,IF('04_Отзывы'!F201="нет",0,""))</x:f>
        <x:v>1</x:v>
      </x:c>
      <x:c r="D222" s="2"/>
    </x:row>
  </x:sheetData>
  <x:pageMargins left="0.7" right="0.7" top="0.75" bottom="0.75" header="0.3" footer="0.3"/>
  <x:drawing xmlns:r="http://schemas.openxmlformats.org/officeDocument/2006/relationships" r:id="R3526ea2def4542c5"/>
</x:worksheet>
</file>

<file path=xl/worksheets/sheet14.xml><?xml version="1.0" encoding="utf-8"?>
<x:worksheet xmlns:x="http://schemas.openxmlformats.org/spreadsheetml/2006/main">
  <x:sheetPr>
    <x:tabColor rgb="FF19212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5" hidden="0" customWidth="1"/>
    <x:col min="4" max="4" width="22" hidden="0" customWidth="1"/>
    <x:col min="5" max="5" width="14" hidden="0" customWidth="1"/>
    <x:col min="6" max="6" width="22" hidden="0" customWidth="1"/>
    <x:col min="7" max="7" width="22" hidden="0" customWidth="1"/>
    <x:col min="8" max="8" width="25" hidden="0" customWidth="1"/>
    <x:col min="9" max="9" width="18" hidden="0" customWidth="1"/>
    <x:col min="10" max="10" width="19" hidden="0" customWidth="1"/>
    <x:col min="11" max="11" width="24" hidden="0" customWidth="1"/>
    <x:col min="12" max="12" width="22" hidden="0" customWidth="1"/>
    <x:col min="13" max="13" width="15" hidden="0" customWidth="1"/>
  </x:cols>
  <x:sheetData>
    <x:row r="1" ht="34" customHeight="1">
      <x:c r="A1" s="6" t="str">
        <x:v>ID_заказа</x:v>
      </x:c>
      <x:c r="B1" s="6" t="str">
        <x:v>Дата</x:v>
      </x:c>
      <x:c r="C1" s="6" t="str">
        <x:v>Товар</x:v>
      </x:c>
      <x:c r="D1" s="6" t="str">
        <x:v>Канал</x:v>
      </x:c>
      <x:c r="E1" s="6" t="str">
        <x:v>Количество</x:v>
      </x:c>
      <x:c r="F1" s="6" t="str">
        <x:v>Цена_за_единицу</x:v>
      </x:c>
      <x:c r="G1" s="6" t="str">
        <x:v>Скидка_на_заказ</x:v>
      </x:c>
      <x:c r="H1" s="6" t="str">
        <x:v>Себестоимость_единицы</x:v>
      </x:c>
      <x:c r="I1" s="6" t="str">
        <x:v>Статус</x:v>
      </x:c>
      <x:c r="J1" s="6" t="str">
        <x:v>Выручка</x:v>
      </x:c>
      <x:c r="K1" s="6" t="str">
        <x:v>Себестоимость_заказа</x:v>
      </x:c>
      <x:c r="L1" s="6" t="str">
        <x:v>Валовая_прибыль</x:v>
      </x:c>
      <x:c r="M1" s="6" t="str">
        <x:v>Месяц</x:v>
      </x:c>
    </x:row>
    <x:row r="2" ht="26" customHeight="1">
      <x:c r="A2" s="2" t="str">
        <x:v>O001</x:v>
      </x:c>
      <x:c r="B2" s="7" t="d">
        <x:v>2026-07-01T00:00:00.000Z</x:v>
      </x:c>
      <x:c r="C2" s="2" t="str">
        <x:v>Планер</x:v>
      </x:c>
      <x:c r="D2" s="2" t="str">
        <x:v>Сайт</x:v>
      </x:c>
      <x:c r="E2" s="29" t="n">
        <x:v>2</x:v>
      </x:c>
      <x:c r="F2" s="8" t="n">
        <x:v>1000</x:v>
      </x:c>
      <x:c r="G2" s="8" t="n">
        <x:v>0</x:v>
      </x:c>
      <x:c r="H2" s="8" t="n">
        <x:v>400</x:v>
      </x:c>
      <x:c r="I2" s="2" t="str">
        <x:v>оплачен</x:v>
      </x:c>
      <x:c r="J2" s="8" t="n">
        <x:f>IF(I2="оплачен",E2*F2-G2,0)</x:f>
        <x:v>2000</x:v>
      </x:c>
      <x:c r="K2" s="8" t="n">
        <x:f>IF(I2="оплачен",E2*H2,0)</x:f>
        <x:v>800</x:v>
      </x:c>
      <x:c r="L2" s="8" t="n">
        <x:f>J2-K2</x:f>
        <x:v>1200</x:v>
      </x:c>
      <x:c r="M2" s="2" t="str">
        <x:f>TEXT(B2,"yyyy-mm")</x:f>
        <x:v>2026-07</x:v>
      </x:c>
    </x:row>
    <x:row r="3" ht="26" customHeight="1">
      <x:c r="A3" s="2" t="str">
        <x:v>O002</x:v>
      </x:c>
      <x:c r="B3" s="7" t="d">
        <x:v>2026-07-02T00:00:00.000Z</x:v>
      </x:c>
      <x:c r="C3" s="2" t="str">
        <x:v>Планер</x:v>
      </x:c>
      <x:c r="D3" s="2" t="str">
        <x:v>Сайт</x:v>
      </x:c>
      <x:c r="E3" s="29" t="n">
        <x:v>3</x:v>
      </x:c>
      <x:c r="F3" s="8" t="n">
        <x:v>800</x:v>
      </x:c>
      <x:c r="G3" s="8" t="n">
        <x:v>72</x:v>
      </x:c>
      <x:c r="H3" s="8" t="n">
        <x:v>280</x:v>
      </x:c>
      <x:c r="I3" s="2" t="str">
        <x:v>оплачен</x:v>
      </x:c>
      <x:c r="J3" s="8" t="n">
        <x:f>IF(I3="оплачен",E3*F3-G3,0)</x:f>
        <x:v>2328</x:v>
      </x:c>
      <x:c r="K3" s="8" t="n">
        <x:f>IF(I3="оплачен",E3*H3,0)</x:f>
        <x:v>840</x:v>
      </x:c>
      <x:c r="L3" s="8" t="n">
        <x:f>J3-K3</x:f>
        <x:v>1488</x:v>
      </x:c>
      <x:c r="M3" s="2" t="str">
        <x:f>TEXT(B3,"yyyy-mm")</x:f>
        <x:v>2026-07</x:v>
      </x:c>
    </x:row>
    <x:row r="4" ht="26" customHeight="1">
      <x:c r="A4" s="2" t="str">
        <x:v>O003</x:v>
      </x:c>
      <x:c r="B4" s="7" t="d">
        <x:v>2026-07-03T00:00:00.000Z</x:v>
      </x:c>
      <x:c r="C4" s="2" t="str">
        <x:v>Рюкзак</x:v>
      </x:c>
      <x:c r="D4" s="2" t="str">
        <x:v>Соцсети</x:v>
      </x:c>
      <x:c r="E4" s="29" t="n">
        <x:v>1</x:v>
      </x:c>
      <x:c r="F4" s="8" t="n">
        <x:v>3600</x:v>
      </x:c>
      <x:c r="G4" s="8" t="n">
        <x:v>108</x:v>
      </x:c>
      <x:c r="H4" s="8" t="n">
        <x:v>1900</x:v>
      </x:c>
      <x:c r="I4" s="2" t="str">
        <x:v>оплачен</x:v>
      </x:c>
      <x:c r="J4" s="8" t="n">
        <x:f>IF(I4="оплачен",E4*F4-G4,0)</x:f>
        <x:v>3492</x:v>
      </x:c>
      <x:c r="K4" s="8" t="n">
        <x:f>IF(I4="оплачен",E4*H4,0)</x:f>
        <x:v>1900</x:v>
      </x:c>
      <x:c r="L4" s="8" t="n">
        <x:f>J4-K4</x:f>
        <x:v>1592</x:v>
      </x:c>
      <x:c r="M4" s="2" t="str">
        <x:f>TEXT(B4,"yyyy-mm")</x:f>
        <x:v>2026-07</x:v>
      </x:c>
    </x:row>
    <x:row r="5" ht="26" customHeight="1">
      <x:c r="A5" s="2" t="str">
        <x:v>O004</x:v>
      </x:c>
      <x:c r="B5" s="7" t="d">
        <x:v>2026-07-04T00:00:00.000Z</x:v>
      </x:c>
      <x:c r="C5" s="2" t="str">
        <x:v>Рюкзак</x:v>
      </x:c>
      <x:c r="D5" s="2" t="str">
        <x:v>Маркетплейс</x:v>
      </x:c>
      <x:c r="E5" s="29" t="n">
        <x:v>3</x:v>
      </x:c>
      <x:c r="F5" s="8" t="n">
        <x:v>3600</x:v>
      </x:c>
      <x:c r="G5" s="8" t="n">
        <x:v>1296</x:v>
      </x:c>
      <x:c r="H5" s="8" t="n">
        <x:v>1900</x:v>
      </x:c>
      <x:c r="I5" s="2" t="str">
        <x:v>оплачен</x:v>
      </x:c>
      <x:c r="J5" s="8" t="n">
        <x:f>IF(I5="оплачен",E5*F5-G5,0)</x:f>
        <x:v>9504</x:v>
      </x:c>
      <x:c r="K5" s="8" t="n">
        <x:f>IF(I5="оплачен",E5*H5,0)</x:f>
        <x:v>5700</x:v>
      </x:c>
      <x:c r="L5" s="8" t="n">
        <x:f>J5-K5</x:f>
        <x:v>3804</x:v>
      </x:c>
      <x:c r="M5" s="2" t="str">
        <x:f>TEXT(B5,"yyyy-mm")</x:f>
        <x:v>2026-07</x:v>
      </x:c>
    </x:row>
    <x:row r="6" ht="26" customHeight="1">
      <x:c r="A6" s="2" t="str">
        <x:v>O005</x:v>
      </x:c>
      <x:c r="B6" s="7" t="d">
        <x:v>2026-07-05T00:00:00.000Z</x:v>
      </x:c>
      <x:c r="C6" s="2" t="str">
        <x:v>Настольная лампа</x:v>
      </x:c>
      <x:c r="D6" s="2" t="str">
        <x:v>Соцсети</x:v>
      </x:c>
      <x:c r="E6" s="29" t="n">
        <x:v>1</x:v>
      </x:c>
      <x:c r="F6" s="8" t="n">
        <x:v>2900</x:v>
      </x:c>
      <x:c r="G6" s="8" t="n">
        <x:v>87</x:v>
      </x:c>
      <x:c r="H6" s="8" t="n">
        <x:v>1700</x:v>
      </x:c>
      <x:c r="I6" s="2" t="str">
        <x:v>оплачен</x:v>
      </x:c>
      <x:c r="J6" s="8" t="n">
        <x:f>IF(I6="оплачен",E6*F6-G6,0)</x:f>
        <x:v>2813</x:v>
      </x:c>
      <x:c r="K6" s="8" t="n">
        <x:f>IF(I6="оплачен",E6*H6,0)</x:f>
        <x:v>1700</x:v>
      </x:c>
      <x:c r="L6" s="8" t="n">
        <x:f>J6-K6</x:f>
        <x:v>1113</x:v>
      </x:c>
      <x:c r="M6" s="2" t="str">
        <x:f>TEXT(B6,"yyyy-mm")</x:f>
        <x:v>2026-07</x:v>
      </x:c>
    </x:row>
    <x:row r="7" ht="26" customHeight="1">
      <x:c r="A7" s="2" t="str">
        <x:v>O006</x:v>
      </x:c>
      <x:c r="B7" s="7" t="d">
        <x:v>2026-07-06T00:00:00.000Z</x:v>
      </x:c>
      <x:c r="C7" s="2" t="str">
        <x:v>Рюкзак</x:v>
      </x:c>
      <x:c r="D7" s="2" t="str">
        <x:v>Маркетплейс</x:v>
      </x:c>
      <x:c r="E7" s="29" t="n">
        <x:v>4</x:v>
      </x:c>
      <x:c r="F7" s="8" t="n">
        <x:v>3600</x:v>
      </x:c>
      <x:c r="G7" s="8" t="n">
        <x:v>1728</x:v>
      </x:c>
      <x:c r="H7" s="8" t="n">
        <x:v>1900</x:v>
      </x:c>
      <x:c r="I7" s="2" t="str">
        <x:v>оплачен</x:v>
      </x:c>
      <x:c r="J7" s="8" t="n">
        <x:f>IF(I7="оплачен",E7*F7-G7,0)</x:f>
        <x:v>12672</x:v>
      </x:c>
      <x:c r="K7" s="8" t="n">
        <x:f>IF(I7="оплачен",E7*H7,0)</x:f>
        <x:v>7600</x:v>
      </x:c>
      <x:c r="L7" s="8" t="n">
        <x:f>J7-K7</x:f>
        <x:v>5072</x:v>
      </x:c>
      <x:c r="M7" s="2" t="str">
        <x:f>TEXT(B7,"yyyy-mm")</x:f>
        <x:v>2026-07</x:v>
      </x:c>
    </x:row>
    <x:row r="8" ht="26" customHeight="1">
      <x:c r="A8" s="2" t="str">
        <x:v>O007</x:v>
      </x:c>
      <x:c r="B8" s="7" t="d">
        <x:v>2026-07-07T00:00:00.000Z</x:v>
      </x:c>
      <x:c r="C8" s="2" t="str">
        <x:v>Термокружка</x:v>
      </x:c>
      <x:c r="D8" s="2" t="str">
        <x:v>Маркетплейс</x:v>
      </x:c>
      <x:c r="E8" s="29" t="n">
        <x:v>1</x:v>
      </x:c>
      <x:c r="F8" s="8" t="n">
        <x:v>1600</x:v>
      </x:c>
      <x:c r="G8" s="8" t="n">
        <x:v>192</x:v>
      </x:c>
      <x:c r="H8" s="8" t="n">
        <x:v>650</x:v>
      </x:c>
      <x:c r="I8" s="2" t="str">
        <x:v>оплачен</x:v>
      </x:c>
      <x:c r="J8" s="8" t="n">
        <x:f>IF(I8="оплачен",E8*F8-G8,0)</x:f>
        <x:v>1408</x:v>
      </x:c>
      <x:c r="K8" s="8" t="n">
        <x:f>IF(I8="оплачен",E8*H8,0)</x:f>
        <x:v>650</x:v>
      </x:c>
      <x:c r="L8" s="8" t="n">
        <x:f>J8-K8</x:f>
        <x:v>758</x:v>
      </x:c>
      <x:c r="M8" s="2" t="str">
        <x:f>TEXT(B8,"yyyy-mm")</x:f>
        <x:v>2026-07</x:v>
      </x:c>
    </x:row>
    <x:row r="9" ht="26" customHeight="1">
      <x:c r="A9" s="2" t="str">
        <x:v>O008</x:v>
      </x:c>
      <x:c r="B9" s="7" t="d">
        <x:v>2026-07-08T00:00:00.000Z</x:v>
      </x:c>
      <x:c r="C9" s="2" t="str">
        <x:v>Термокружка</x:v>
      </x:c>
      <x:c r="D9" s="2" t="str">
        <x:v>Маркетплейс</x:v>
      </x:c>
      <x:c r="E9" s="29" t="n">
        <x:v>4</x:v>
      </x:c>
      <x:c r="F9" s="8" t="n">
        <x:v>1600</x:v>
      </x:c>
      <x:c r="G9" s="8" t="n">
        <x:v>768</x:v>
      </x:c>
      <x:c r="H9" s="8" t="n">
        <x:v>650</x:v>
      </x:c>
      <x:c r="I9" s="2" t="str">
        <x:v>оплачен</x:v>
      </x:c>
      <x:c r="J9" s="8" t="n">
        <x:f>IF(I9="оплачен",E9*F9-G9,0)</x:f>
        <x:v>5632</x:v>
      </x:c>
      <x:c r="K9" s="8" t="n">
        <x:f>IF(I9="оплачен",E9*H9,0)</x:f>
        <x:v>2600</x:v>
      </x:c>
      <x:c r="L9" s="8" t="n">
        <x:f>J9-K9</x:f>
        <x:v>3032</x:v>
      </x:c>
      <x:c r="M9" s="2" t="str">
        <x:f>TEXT(B9,"yyyy-mm")</x:f>
        <x:v>2026-07</x:v>
      </x:c>
    </x:row>
    <x:row r="10" ht="26" customHeight="1">
      <x:c r="A10" s="2" t="str">
        <x:v>O009</x:v>
      </x:c>
      <x:c r="B10" s="7" t="d">
        <x:v>2026-07-09T00:00:00.000Z</x:v>
      </x:c>
      <x:c r="C10" s="2" t="str">
        <x:v>Планер</x:v>
      </x:c>
      <x:c r="D10" s="2" t="str">
        <x:v>Маркетплейс</x:v>
      </x:c>
      <x:c r="E10" s="29" t="n">
        <x:v>4</x:v>
      </x:c>
      <x:c r="F10" s="8" t="n">
        <x:v>800</x:v>
      </x:c>
      <x:c r="G10" s="8" t="n">
        <x:v>384</x:v>
      </x:c>
      <x:c r="H10" s="8" t="n">
        <x:v>280</x:v>
      </x:c>
      <x:c r="I10" s="2" t="str">
        <x:v>оплачен</x:v>
      </x:c>
      <x:c r="J10" s="8" t="n">
        <x:f>IF(I10="оплачен",E10*F10-G10,0)</x:f>
        <x:v>2816</x:v>
      </x:c>
      <x:c r="K10" s="8" t="n">
        <x:f>IF(I10="оплачен",E10*H10,0)</x:f>
        <x:v>1120</x:v>
      </x:c>
      <x:c r="L10" s="8" t="n">
        <x:f>J10-K10</x:f>
        <x:v>1696</x:v>
      </x:c>
      <x:c r="M10" s="2" t="str">
        <x:f>TEXT(B10,"yyyy-mm")</x:f>
        <x:v>2026-07</x:v>
      </x:c>
    </x:row>
    <x:row r="11" ht="26" customHeight="1">
      <x:c r="A11" s="2" t="str">
        <x:v>O010</x:v>
      </x:c>
      <x:c r="B11" s="7" t="d">
        <x:v>2026-07-10T00:00:00.000Z</x:v>
      </x:c>
      <x:c r="C11" s="2" t="str">
        <x:v>Термокружка</x:v>
      </x:c>
      <x:c r="D11" s="2" t="str">
        <x:v>Сайт</x:v>
      </x:c>
      <x:c r="E11" s="29" t="n">
        <x:v>4</x:v>
      </x:c>
      <x:c r="F11" s="8" t="n">
        <x:v>1600</x:v>
      </x:c>
      <x:c r="G11" s="8" t="n">
        <x:v>192</x:v>
      </x:c>
      <x:c r="H11" s="8" t="n">
        <x:v>650</x:v>
      </x:c>
      <x:c r="I11" s="2" t="str">
        <x:v>оплачен</x:v>
      </x:c>
      <x:c r="J11" s="8" t="n">
        <x:f>IF(I11="оплачен",E11*F11-G11,0)</x:f>
        <x:v>6208</x:v>
      </x:c>
      <x:c r="K11" s="8" t="n">
        <x:f>IF(I11="оплачен",E11*H11,0)</x:f>
        <x:v>2600</x:v>
      </x:c>
      <x:c r="L11" s="8" t="n">
        <x:f>J11-K11</x:f>
        <x:v>3608</x:v>
      </x:c>
      <x:c r="M11" s="2" t="str">
        <x:f>TEXT(B11,"yyyy-mm")</x:f>
        <x:v>2026-07</x:v>
      </x:c>
    </x:row>
    <x:row r="12" ht="26" customHeight="1">
      <x:c r="A12" s="2" t="str">
        <x:v>O011</x:v>
      </x:c>
      <x:c r="B12" s="7" t="d">
        <x:v>2026-07-11T00:00:00.000Z</x:v>
      </x:c>
      <x:c r="C12" s="2" t="str">
        <x:v>Настольная лампа</x:v>
      </x:c>
      <x:c r="D12" s="2" t="str">
        <x:v>Соцсети</x:v>
      </x:c>
      <x:c r="E12" s="29" t="n">
        <x:v>1</x:v>
      </x:c>
      <x:c r="F12" s="8" t="n">
        <x:v>2900</x:v>
      </x:c>
      <x:c r="G12" s="8" t="n">
        <x:v>87</x:v>
      </x:c>
      <x:c r="H12" s="8" t="n">
        <x:v>1700</x:v>
      </x:c>
      <x:c r="I12" s="2" t="str">
        <x:v>оплачен</x:v>
      </x:c>
      <x:c r="J12" s="8" t="n">
        <x:f>IF(I12="оплачен",E12*F12-G12,0)</x:f>
        <x:v>2813</x:v>
      </x:c>
      <x:c r="K12" s="8" t="n">
        <x:f>IF(I12="оплачен",E12*H12,0)</x:f>
        <x:v>1700</x:v>
      </x:c>
      <x:c r="L12" s="8" t="n">
        <x:f>J12-K12</x:f>
        <x:v>1113</x:v>
      </x:c>
      <x:c r="M12" s="2" t="str">
        <x:f>TEXT(B12,"yyyy-mm")</x:f>
        <x:v>2026-07</x:v>
      </x:c>
    </x:row>
    <x:row r="13" ht="26" customHeight="1">
      <x:c r="A13" s="2" t="str">
        <x:v>O012</x:v>
      </x:c>
      <x:c r="B13" s="7" t="d">
        <x:v>2026-07-12T00:00:00.000Z</x:v>
      </x:c>
      <x:c r="C13" s="2" t="str">
        <x:v>Планер</x:v>
      </x:c>
      <x:c r="D13" s="2" t="str">
        <x:v>Соцсети</x:v>
      </x:c>
      <x:c r="E13" s="29" t="n">
        <x:v>2</x:v>
      </x:c>
      <x:c r="F13" s="8" t="n">
        <x:v>800</x:v>
      </x:c>
      <x:c r="G13" s="8" t="n">
        <x:v>48</x:v>
      </x:c>
      <x:c r="H13" s="8" t="n">
        <x:v>280</x:v>
      </x:c>
      <x:c r="I13" s="2" t="str">
        <x:v>оплачен</x:v>
      </x:c>
      <x:c r="J13" s="8" t="n">
        <x:f>IF(I13="оплачен",E13*F13-G13,0)</x:f>
        <x:v>1552</x:v>
      </x:c>
      <x:c r="K13" s="8" t="n">
        <x:f>IF(I13="оплачен",E13*H13,0)</x:f>
        <x:v>560</x:v>
      </x:c>
      <x:c r="L13" s="8" t="n">
        <x:f>J13-K13</x:f>
        <x:v>992</x:v>
      </x:c>
      <x:c r="M13" s="2" t="str">
        <x:f>TEXT(B13,"yyyy-mm")</x:f>
        <x:v>2026-07</x:v>
      </x:c>
    </x:row>
    <x:row r="14" ht="26" customHeight="1">
      <x:c r="A14" s="2" t="str">
        <x:v>O013</x:v>
      </x:c>
      <x:c r="B14" s="7" t="d">
        <x:v>2026-07-13T00:00:00.000Z</x:v>
      </x:c>
      <x:c r="C14" s="2" t="str">
        <x:v>Планер</x:v>
      </x:c>
      <x:c r="D14" s="2" t="str">
        <x:v>Маркетплейс</x:v>
      </x:c>
      <x:c r="E14" s="29" t="n">
        <x:v>1</x:v>
      </x:c>
      <x:c r="F14" s="8" t="n">
        <x:v>800</x:v>
      </x:c>
      <x:c r="G14" s="8" t="n">
        <x:v>96</x:v>
      </x:c>
      <x:c r="H14" s="8" t="n">
        <x:v>280</x:v>
      </x:c>
      <x:c r="I14" s="2" t="str">
        <x:v>оплачен</x:v>
      </x:c>
      <x:c r="J14" s="8" t="n">
        <x:f>IF(I14="оплачен",E14*F14-G14,0)</x:f>
        <x:v>704</x:v>
      </x:c>
      <x:c r="K14" s="8" t="n">
        <x:f>IF(I14="оплачен",E14*H14,0)</x:f>
        <x:v>280</x:v>
      </x:c>
      <x:c r="L14" s="8" t="n">
        <x:f>J14-K14</x:f>
        <x:v>424</x:v>
      </x:c>
      <x:c r="M14" s="2" t="str">
        <x:f>TEXT(B14,"yyyy-mm")</x:f>
        <x:v>2026-07</x:v>
      </x:c>
    </x:row>
    <x:row r="15" ht="26" customHeight="1">
      <x:c r="A15" s="2" t="str">
        <x:v>O014</x:v>
      </x:c>
      <x:c r="B15" s="7" t="d">
        <x:v>2026-07-14T00:00:00.000Z</x:v>
      </x:c>
      <x:c r="C15" s="2" t="str">
        <x:v>Термокружка</x:v>
      </x:c>
      <x:c r="D15" s="2" t="str">
        <x:v>Маркетплейс</x:v>
      </x:c>
      <x:c r="E15" s="29" t="n">
        <x:v>1</x:v>
      </x:c>
      <x:c r="F15" s="8" t="n">
        <x:v>1600</x:v>
      </x:c>
      <x:c r="G15" s="8" t="n">
        <x:v>192</x:v>
      </x:c>
      <x:c r="H15" s="8" t="n">
        <x:v>650</x:v>
      </x:c>
      <x:c r="I15" s="2" t="str">
        <x:v>отменён</x:v>
      </x:c>
      <x:c r="J15" s="8" t="n">
        <x:f>IF(I15="оплачен",E15*F15-G15,0)</x:f>
        <x:v>0</x:v>
      </x:c>
      <x:c r="K15" s="8" t="n">
        <x:f>IF(I15="оплачен",E15*H15,0)</x:f>
        <x:v>0</x:v>
      </x:c>
      <x:c r="L15" s="8" t="n">
        <x:f>J15-K15</x:f>
        <x:v>0</x:v>
      </x:c>
      <x:c r="M15" s="2" t="str">
        <x:f>TEXT(B15,"yyyy-mm")</x:f>
        <x:v>2026-07</x:v>
      </x:c>
    </x:row>
    <x:row r="16" ht="26" customHeight="1">
      <x:c r="A16" s="2" t="str">
        <x:v>O015</x:v>
      </x:c>
      <x:c r="B16" s="7" t="d">
        <x:v>2026-07-15T00:00:00.000Z</x:v>
      </x:c>
      <x:c r="C16" s="2" t="str">
        <x:v>Настольная лампа</x:v>
      </x:c>
      <x:c r="D16" s="2" t="str">
        <x:v>Соцсети</x:v>
      </x:c>
      <x:c r="E16" s="29" t="n">
        <x:v>4</x:v>
      </x:c>
      <x:c r="F16" s="8" t="n">
        <x:v>2900</x:v>
      </x:c>
      <x:c r="G16" s="8" t="n">
        <x:v>348</x:v>
      </x:c>
      <x:c r="H16" s="8" t="n">
        <x:v>1700</x:v>
      </x:c>
      <x:c r="I16" s="2" t="str">
        <x:v>оплачен</x:v>
      </x:c>
      <x:c r="J16" s="8" t="n">
        <x:f>IF(I16="оплачен",E16*F16-G16,0)</x:f>
        <x:v>11252</x:v>
      </x:c>
      <x:c r="K16" s="8" t="n">
        <x:f>IF(I16="оплачен",E16*H16,0)</x:f>
        <x:v>6800</x:v>
      </x:c>
      <x:c r="L16" s="8" t="n">
        <x:f>J16-K16</x:f>
        <x:v>4452</x:v>
      </x:c>
      <x:c r="M16" s="2" t="str">
        <x:f>TEXT(B16,"yyyy-mm")</x:f>
        <x:v>2026-07</x:v>
      </x:c>
    </x:row>
    <x:row r="17" ht="26" customHeight="1">
      <x:c r="A17" s="2" t="str">
        <x:v>O016</x:v>
      </x:c>
      <x:c r="B17" s="7" t="d">
        <x:v>2026-07-16T00:00:00.000Z</x:v>
      </x:c>
      <x:c r="C17" s="2" t="str">
        <x:v>Планер</x:v>
      </x:c>
      <x:c r="D17" s="2" t="str">
        <x:v>Соцсети</x:v>
      </x:c>
      <x:c r="E17" s="29" t="n">
        <x:v>1</x:v>
      </x:c>
      <x:c r="F17" s="8" t="n">
        <x:v>800</x:v>
      </x:c>
      <x:c r="G17" s="8" t="n">
        <x:v>24</x:v>
      </x:c>
      <x:c r="H17" s="8" t="n">
        <x:v>280</x:v>
      </x:c>
      <x:c r="I17" s="2" t="str">
        <x:v>оплачен</x:v>
      </x:c>
      <x:c r="J17" s="8" t="n">
        <x:f>IF(I17="оплачен",E17*F17-G17,0)</x:f>
        <x:v>776</x:v>
      </x:c>
      <x:c r="K17" s="8" t="n">
        <x:f>IF(I17="оплачен",E17*H17,0)</x:f>
        <x:v>280</x:v>
      </x:c>
      <x:c r="L17" s="8" t="n">
        <x:f>J17-K17</x:f>
        <x:v>496</x:v>
      </x:c>
      <x:c r="M17" s="2" t="str">
        <x:f>TEXT(B17,"yyyy-mm")</x:f>
        <x:v>2026-07</x:v>
      </x:c>
    </x:row>
    <x:row r="18" ht="26" customHeight="1">
      <x:c r="A18" s="2" t="str">
        <x:v>O017</x:v>
      </x:c>
      <x:c r="B18" s="7" t="d">
        <x:v>2026-07-17T00:00:00.000Z</x:v>
      </x:c>
      <x:c r="C18" s="2" t="str">
        <x:v>Термокружка</x:v>
      </x:c>
      <x:c r="D18" s="2" t="str">
        <x:v>Маркетплейс</x:v>
      </x:c>
      <x:c r="E18" s="29" t="n">
        <x:v>3</x:v>
      </x:c>
      <x:c r="F18" s="8" t="n">
        <x:v>1600</x:v>
      </x:c>
      <x:c r="G18" s="8" t="n">
        <x:v>576</x:v>
      </x:c>
      <x:c r="H18" s="8" t="n">
        <x:v>650</x:v>
      </x:c>
      <x:c r="I18" s="2" t="str">
        <x:v>оплачен</x:v>
      </x:c>
      <x:c r="J18" s="8" t="n">
        <x:f>IF(I18="оплачен",E18*F18-G18,0)</x:f>
        <x:v>4224</x:v>
      </x:c>
      <x:c r="K18" s="8" t="n">
        <x:f>IF(I18="оплачен",E18*H18,0)</x:f>
        <x:v>1950</x:v>
      </x:c>
      <x:c r="L18" s="8" t="n">
        <x:f>J18-K18</x:f>
        <x:v>2274</x:v>
      </x:c>
      <x:c r="M18" s="2" t="str">
        <x:f>TEXT(B18,"yyyy-mm")</x:f>
        <x:v>2026-07</x:v>
      </x:c>
    </x:row>
    <x:row r="19" ht="26" customHeight="1">
      <x:c r="A19" s="2" t="str">
        <x:v>O018</x:v>
      </x:c>
      <x:c r="B19" s="7" t="d">
        <x:v>2026-07-18T00:00:00.000Z</x:v>
      </x:c>
      <x:c r="C19" s="2" t="str">
        <x:v>Настольная лампа</x:v>
      </x:c>
      <x:c r="D19" s="2" t="str">
        <x:v>Сайт</x:v>
      </x:c>
      <x:c r="E19" s="29" t="n">
        <x:v>3</x:v>
      </x:c>
      <x:c r="F19" s="8" t="n">
        <x:v>2900</x:v>
      </x:c>
      <x:c r="G19" s="8" t="n">
        <x:v>261</x:v>
      </x:c>
      <x:c r="H19" s="8" t="n">
        <x:v>1700</x:v>
      </x:c>
      <x:c r="I19" s="2" t="str">
        <x:v>возвращён</x:v>
      </x:c>
      <x:c r="J19" s="8" t="n">
        <x:f>IF(I19="оплачен",E19*F19-G19,0)</x:f>
        <x:v>0</x:v>
      </x:c>
      <x:c r="K19" s="8" t="n">
        <x:f>IF(I19="оплачен",E19*H19,0)</x:f>
        <x:v>0</x:v>
      </x:c>
      <x:c r="L19" s="8" t="n">
        <x:f>J19-K19</x:f>
        <x:v>0</x:v>
      </x:c>
      <x:c r="M19" s="2" t="str">
        <x:f>TEXT(B19,"yyyy-mm")</x:f>
        <x:v>2026-07</x:v>
      </x:c>
    </x:row>
    <x:row r="20" ht="26" customHeight="1">
      <x:c r="A20" s="2" t="str">
        <x:v>O019</x:v>
      </x:c>
      <x:c r="B20" s="7" t="d">
        <x:v>2026-07-19T00:00:00.000Z</x:v>
      </x:c>
      <x:c r="C20" s="2" t="str">
        <x:v>Рюкзак</x:v>
      </x:c>
      <x:c r="D20" s="2" t="str">
        <x:v>Сайт</x:v>
      </x:c>
      <x:c r="E20" s="29" t="n">
        <x:v>3</x:v>
      </x:c>
      <x:c r="F20" s="8" t="n">
        <x:v>3600</x:v>
      </x:c>
      <x:c r="G20" s="8" t="n">
        <x:v>324</x:v>
      </x:c>
      <x:c r="H20" s="8" t="n">
        <x:v>1900</x:v>
      </x:c>
      <x:c r="I20" s="2" t="str">
        <x:v>оплачен</x:v>
      </x:c>
      <x:c r="J20" s="8" t="n">
        <x:f>IF(I20="оплачен",E20*F20-G20,0)</x:f>
        <x:v>10476</x:v>
      </x:c>
      <x:c r="K20" s="8" t="n">
        <x:f>IF(I20="оплачен",E20*H20,0)</x:f>
        <x:v>5700</x:v>
      </x:c>
      <x:c r="L20" s="8" t="n">
        <x:f>J20-K20</x:f>
        <x:v>4776</x:v>
      </x:c>
      <x:c r="M20" s="2" t="str">
        <x:f>TEXT(B20,"yyyy-mm")</x:f>
        <x:v>2026-07</x:v>
      </x:c>
    </x:row>
    <x:row r="21" ht="26" customHeight="1">
      <x:c r="A21" s="2" t="str">
        <x:v>O020</x:v>
      </x:c>
      <x:c r="B21" s="7" t="d">
        <x:v>2026-07-20T00:00:00.000Z</x:v>
      </x:c>
      <x:c r="C21" s="2" t="str">
        <x:v>Термокружка</x:v>
      </x:c>
      <x:c r="D21" s="2" t="str">
        <x:v>Маркетплейс</x:v>
      </x:c>
      <x:c r="E21" s="29" t="n">
        <x:v>2</x:v>
      </x:c>
      <x:c r="F21" s="8" t="n">
        <x:v>1600</x:v>
      </x:c>
      <x:c r="G21" s="8" t="n">
        <x:v>384</x:v>
      </x:c>
      <x:c r="H21" s="8" t="n">
        <x:v>650</x:v>
      </x:c>
      <x:c r="I21" s="2" t="str">
        <x:v>оплачен</x:v>
      </x:c>
      <x:c r="J21" s="8" t="n">
        <x:f>IF(I21="оплачен",E21*F21-G21,0)</x:f>
        <x:v>2816</x:v>
      </x:c>
      <x:c r="K21" s="8" t="n">
        <x:f>IF(I21="оплачен",E21*H21,0)</x:f>
        <x:v>1300</x:v>
      </x:c>
      <x:c r="L21" s="8" t="n">
        <x:f>J21-K21</x:f>
        <x:v>1516</x:v>
      </x:c>
      <x:c r="M21" s="2" t="str">
        <x:f>TEXT(B21,"yyyy-mm")</x:f>
        <x:v>2026-07</x:v>
      </x:c>
    </x:row>
    <x:row r="22" ht="26" customHeight="1">
      <x:c r="A22" s="2" t="str">
        <x:v>O021</x:v>
      </x:c>
      <x:c r="B22" s="7" t="d">
        <x:v>2026-07-21T00:00:00.000Z</x:v>
      </x:c>
      <x:c r="C22" s="2" t="str">
        <x:v>Термокружка</x:v>
      </x:c>
      <x:c r="D22" s="2" t="str">
        <x:v>Маркетплейс</x:v>
      </x:c>
      <x:c r="E22" s="29" t="n">
        <x:v>1</x:v>
      </x:c>
      <x:c r="F22" s="8" t="n">
        <x:v>1600</x:v>
      </x:c>
      <x:c r="G22" s="8" t="n">
        <x:v>192</x:v>
      </x:c>
      <x:c r="H22" s="8" t="n">
        <x:v>650</x:v>
      </x:c>
      <x:c r="I22" s="2" t="str">
        <x:v>оплачен</x:v>
      </x:c>
      <x:c r="J22" s="8" t="n">
        <x:f>IF(I22="оплачен",E22*F22-G22,0)</x:f>
        <x:v>1408</x:v>
      </x:c>
      <x:c r="K22" s="8" t="n">
        <x:f>IF(I22="оплачен",E22*H22,0)</x:f>
        <x:v>650</x:v>
      </x:c>
      <x:c r="L22" s="8" t="n">
        <x:f>J22-K22</x:f>
        <x:v>758</x:v>
      </x:c>
      <x:c r="M22" s="2" t="str">
        <x:f>TEXT(B22,"yyyy-mm")</x:f>
        <x:v>2026-07</x:v>
      </x:c>
    </x:row>
    <x:row r="23" ht="26" customHeight="1">
      <x:c r="A23" s="2" t="str">
        <x:v>O022</x:v>
      </x:c>
      <x:c r="B23" s="7" t="d">
        <x:v>2026-07-22T00:00:00.000Z</x:v>
      </x:c>
      <x:c r="C23" s="2" t="str">
        <x:v>Настольная лампа</x:v>
      </x:c>
      <x:c r="D23" s="2" t="str">
        <x:v>Соцсети</x:v>
      </x:c>
      <x:c r="E23" s="29" t="n">
        <x:v>4</x:v>
      </x:c>
      <x:c r="F23" s="8" t="n">
        <x:v>2900</x:v>
      </x:c>
      <x:c r="G23" s="8" t="n">
        <x:v>348</x:v>
      </x:c>
      <x:c r="H23" s="8" t="n">
        <x:v>1700</x:v>
      </x:c>
      <x:c r="I23" s="2" t="str">
        <x:v>оплачен</x:v>
      </x:c>
      <x:c r="J23" s="8" t="n">
        <x:f>IF(I23="оплачен",E23*F23-G23,0)</x:f>
        <x:v>11252</x:v>
      </x:c>
      <x:c r="K23" s="8" t="n">
        <x:f>IF(I23="оплачен",E23*H23,0)</x:f>
        <x:v>6800</x:v>
      </x:c>
      <x:c r="L23" s="8" t="n">
        <x:f>J23-K23</x:f>
        <x:v>4452</x:v>
      </x:c>
      <x:c r="M23" s="2" t="str">
        <x:f>TEXT(B23,"yyyy-mm")</x:f>
        <x:v>2026-07</x:v>
      </x:c>
    </x:row>
    <x:row r="24" ht="26" customHeight="1">
      <x:c r="A24" s="2" t="str">
        <x:v>O023</x:v>
      </x:c>
      <x:c r="B24" s="7" t="d">
        <x:v>2026-07-23T00:00:00.000Z</x:v>
      </x:c>
      <x:c r="C24" s="2" t="str">
        <x:v>Настольная лампа</x:v>
      </x:c>
      <x:c r="D24" s="2" t="str">
        <x:v>Маркетплейс</x:v>
      </x:c>
      <x:c r="E24" s="29" t="n">
        <x:v>3</x:v>
      </x:c>
      <x:c r="F24" s="8" t="n">
        <x:v>2900</x:v>
      </x:c>
      <x:c r="G24" s="8" t="n">
        <x:v>1044</x:v>
      </x:c>
      <x:c r="H24" s="8" t="n">
        <x:v>1700</x:v>
      </x:c>
      <x:c r="I24" s="2" t="str">
        <x:v>оплачен</x:v>
      </x:c>
      <x:c r="J24" s="8" t="n">
        <x:f>IF(I24="оплачен",E24*F24-G24,0)</x:f>
        <x:v>7656</x:v>
      </x:c>
      <x:c r="K24" s="8" t="n">
        <x:f>IF(I24="оплачен",E24*H24,0)</x:f>
        <x:v>5100</x:v>
      </x:c>
      <x:c r="L24" s="8" t="n">
        <x:f>J24-K24</x:f>
        <x:v>2556</x:v>
      </x:c>
      <x:c r="M24" s="2" t="str">
        <x:f>TEXT(B24,"yyyy-mm")</x:f>
        <x:v>2026-07</x:v>
      </x:c>
    </x:row>
    <x:row r="25" ht="26" customHeight="1">
      <x:c r="A25" s="2" t="str">
        <x:v>O024</x:v>
      </x:c>
      <x:c r="B25" s="7" t="d">
        <x:v>2026-07-24T00:00:00.000Z</x:v>
      </x:c>
      <x:c r="C25" s="2" t="str">
        <x:v>Термокружка</x:v>
      </x:c>
      <x:c r="D25" s="2" t="str">
        <x:v>Соцсети</x:v>
      </x:c>
      <x:c r="E25" s="29" t="n">
        <x:v>4</x:v>
      </x:c>
      <x:c r="F25" s="8" t="n">
        <x:v>1600</x:v>
      </x:c>
      <x:c r="G25" s="8" t="n">
        <x:v>192</x:v>
      </x:c>
      <x:c r="H25" s="8" t="n">
        <x:v>650</x:v>
      </x:c>
      <x:c r="I25" s="2" t="str">
        <x:v>оплачен</x:v>
      </x:c>
      <x:c r="J25" s="8" t="n">
        <x:f>IF(I25="оплачен",E25*F25-G25,0)</x:f>
        <x:v>6208</x:v>
      </x:c>
      <x:c r="K25" s="8" t="n">
        <x:f>IF(I25="оплачен",E25*H25,0)</x:f>
        <x:v>2600</x:v>
      </x:c>
      <x:c r="L25" s="8" t="n">
        <x:f>J25-K25</x:f>
        <x:v>3608</x:v>
      </x:c>
      <x:c r="M25" s="2" t="str">
        <x:f>TEXT(B25,"yyyy-mm")</x:f>
        <x:v>2026-07</x:v>
      </x:c>
    </x:row>
    <x:row r="26" ht="26" customHeight="1">
      <x:c r="A26" s="2" t="str">
        <x:v>O025</x:v>
      </x:c>
      <x:c r="B26" s="7" t="d">
        <x:v>2026-07-25T00:00:00.000Z</x:v>
      </x:c>
      <x:c r="C26" s="2" t="str">
        <x:v>Планер</x:v>
      </x:c>
      <x:c r="D26" s="2" t="str">
        <x:v>Соцсети</x:v>
      </x:c>
      <x:c r="E26" s="29" t="n">
        <x:v>2</x:v>
      </x:c>
      <x:c r="F26" s="8" t="n">
        <x:v>800</x:v>
      </x:c>
      <x:c r="G26" s="8" t="n">
        <x:v>48</x:v>
      </x:c>
      <x:c r="H26" s="8" t="n">
        <x:v>280</x:v>
      </x:c>
      <x:c r="I26" s="2" t="str">
        <x:v>оплачен</x:v>
      </x:c>
      <x:c r="J26" s="8" t="n">
        <x:f>IF(I26="оплачен",E26*F26-G26,0)</x:f>
        <x:v>1552</x:v>
      </x:c>
      <x:c r="K26" s="8" t="n">
        <x:f>IF(I26="оплачен",E26*H26,0)</x:f>
        <x:v>560</x:v>
      </x:c>
      <x:c r="L26" s="8" t="n">
        <x:f>J26-K26</x:f>
        <x:v>992</x:v>
      </x:c>
      <x:c r="M26" s="2" t="str">
        <x:f>TEXT(B26,"yyyy-mm")</x:f>
        <x:v>2026-07</x:v>
      </x:c>
    </x:row>
    <x:row r="27" ht="26" customHeight="1">
      <x:c r="A27" s="2" t="str">
        <x:v>O026</x:v>
      </x:c>
      <x:c r="B27" s="7" t="d">
        <x:v>2026-07-26T00:00:00.000Z</x:v>
      </x:c>
      <x:c r="C27" s="2" t="str">
        <x:v>Термокружка</x:v>
      </x:c>
      <x:c r="D27" s="2" t="str">
        <x:v>Маркетплейс</x:v>
      </x:c>
      <x:c r="E27" s="29" t="n">
        <x:v>2</x:v>
      </x:c>
      <x:c r="F27" s="8" t="n">
        <x:v>1600</x:v>
      </x:c>
      <x:c r="G27" s="8" t="n">
        <x:v>384</x:v>
      </x:c>
      <x:c r="H27" s="8" t="n">
        <x:v>650</x:v>
      </x:c>
      <x:c r="I27" s="2" t="str">
        <x:v>оплачен</x:v>
      </x:c>
      <x:c r="J27" s="8" t="n">
        <x:f>IF(I27="оплачен",E27*F27-G27,0)</x:f>
        <x:v>2816</x:v>
      </x:c>
      <x:c r="K27" s="8" t="n">
        <x:f>IF(I27="оплачен",E27*H27,0)</x:f>
        <x:v>1300</x:v>
      </x:c>
      <x:c r="L27" s="8" t="n">
        <x:f>J27-K27</x:f>
        <x:v>1516</x:v>
      </x:c>
      <x:c r="M27" s="2" t="str">
        <x:f>TEXT(B27,"yyyy-mm")</x:f>
        <x:v>2026-07</x:v>
      </x:c>
    </x:row>
    <x:row r="28" ht="26" customHeight="1">
      <x:c r="A28" s="2" t="str">
        <x:v>O027</x:v>
      </x:c>
      <x:c r="B28" s="7" t="d">
        <x:v>2026-07-27T00:00:00.000Z</x:v>
      </x:c>
      <x:c r="C28" s="2" t="str">
        <x:v>Настольная лампа</x:v>
      </x:c>
      <x:c r="D28" s="2" t="str">
        <x:v>Соцсети</x:v>
      </x:c>
      <x:c r="E28" s="29" t="n">
        <x:v>1</x:v>
      </x:c>
      <x:c r="F28" s="8" t="n">
        <x:v>2900</x:v>
      </x:c>
      <x:c r="G28" s="8" t="n">
        <x:v>87</x:v>
      </x:c>
      <x:c r="H28" s="8" t="n">
        <x:v>1700</x:v>
      </x:c>
      <x:c r="I28" s="2" t="str">
        <x:v>отменён</x:v>
      </x:c>
      <x:c r="J28" s="8" t="n">
        <x:f>IF(I28="оплачен",E28*F28-G28,0)</x:f>
        <x:v>0</x:v>
      </x:c>
      <x:c r="K28" s="8" t="n">
        <x:f>IF(I28="оплачен",E28*H28,0)</x:f>
        <x:v>0</x:v>
      </x:c>
      <x:c r="L28" s="8" t="n">
        <x:f>J28-K28</x:f>
        <x:v>0</x:v>
      </x:c>
      <x:c r="M28" s="2" t="str">
        <x:f>TEXT(B28,"yyyy-mm")</x:f>
        <x:v>2026-07</x:v>
      </x:c>
    </x:row>
    <x:row r="29" ht="26" customHeight="1">
      <x:c r="A29" s="2" t="str">
        <x:v>O028</x:v>
      </x:c>
      <x:c r="B29" s="7" t="d">
        <x:v>2026-07-28T00:00:00.000Z</x:v>
      </x:c>
      <x:c r="C29" s="2" t="str">
        <x:v>Термокружка</x:v>
      </x:c>
      <x:c r="D29" s="2" t="str">
        <x:v>Соцсети</x:v>
      </x:c>
      <x:c r="E29" s="29" t="n">
        <x:v>1</x:v>
      </x:c>
      <x:c r="F29" s="8" t="n">
        <x:v>1600</x:v>
      </x:c>
      <x:c r="G29" s="8" t="n">
        <x:v>48</x:v>
      </x:c>
      <x:c r="H29" s="8" t="n">
        <x:v>650</x:v>
      </x:c>
      <x:c r="I29" s="2" t="str">
        <x:v>оплачен</x:v>
      </x:c>
      <x:c r="J29" s="8" t="n">
        <x:f>IF(I29="оплачен",E29*F29-G29,0)</x:f>
        <x:v>1552</x:v>
      </x:c>
      <x:c r="K29" s="8" t="n">
        <x:f>IF(I29="оплачен",E29*H29,0)</x:f>
        <x:v>650</x:v>
      </x:c>
      <x:c r="L29" s="8" t="n">
        <x:f>J29-K29</x:f>
        <x:v>902</x:v>
      </x:c>
      <x:c r="M29" s="2" t="str">
        <x:f>TEXT(B29,"yyyy-mm")</x:f>
        <x:v>2026-07</x:v>
      </x:c>
    </x:row>
    <x:row r="30" ht="26" customHeight="1">
      <x:c r="A30" s="2" t="str">
        <x:v>O029</x:v>
      </x:c>
      <x:c r="B30" s="7" t="d">
        <x:v>2026-07-01T00:00:00.000Z</x:v>
      </x:c>
      <x:c r="C30" s="2" t="str">
        <x:v>Рюкзак</x:v>
      </x:c>
      <x:c r="D30" s="2" t="str">
        <x:v>Соцсети</x:v>
      </x:c>
      <x:c r="E30" s="29" t="n">
        <x:v>1</x:v>
      </x:c>
      <x:c r="F30" s="8" t="n">
        <x:v>3600</x:v>
      </x:c>
      <x:c r="G30" s="8" t="n">
        <x:v>108</x:v>
      </x:c>
      <x:c r="H30" s="8" t="n">
        <x:v>1900</x:v>
      </x:c>
      <x:c r="I30" s="2" t="str">
        <x:v>оплачен</x:v>
      </x:c>
      <x:c r="J30" s="8" t="n">
        <x:f>IF(I30="оплачен",E30*F30-G30,0)</x:f>
        <x:v>3492</x:v>
      </x:c>
      <x:c r="K30" s="8" t="n">
        <x:f>IF(I30="оплачен",E30*H30,0)</x:f>
        <x:v>1900</x:v>
      </x:c>
      <x:c r="L30" s="8" t="n">
        <x:f>J30-K30</x:f>
        <x:v>1592</x:v>
      </x:c>
      <x:c r="M30" s="2" t="str">
        <x:f>TEXT(B30,"yyyy-mm")</x:f>
        <x:v>2026-07</x:v>
      </x:c>
    </x:row>
    <x:row r="31" ht="26" customHeight="1">
      <x:c r="A31" s="2" t="str">
        <x:v>O030</x:v>
      </x:c>
      <x:c r="B31" s="7" t="d">
        <x:v>2026-07-02T00:00:00.000Z</x:v>
      </x:c>
      <x:c r="C31" s="2" t="str">
        <x:v>Настольная лампа</x:v>
      </x:c>
      <x:c r="D31" s="2" t="str">
        <x:v>Маркетплейс</x:v>
      </x:c>
      <x:c r="E31" s="29" t="n">
        <x:v>2</x:v>
      </x:c>
      <x:c r="F31" s="8" t="n">
        <x:v>2900</x:v>
      </x:c>
      <x:c r="G31" s="8" t="n">
        <x:v>696</x:v>
      </x:c>
      <x:c r="H31" s="8" t="n">
        <x:v>1700</x:v>
      </x:c>
      <x:c r="I31" s="2" t="str">
        <x:v>оплачен</x:v>
      </x:c>
      <x:c r="J31" s="8" t="n">
        <x:f>IF(I31="оплачен",E31*F31-G31,0)</x:f>
        <x:v>5104</x:v>
      </x:c>
      <x:c r="K31" s="8" t="n">
        <x:f>IF(I31="оплачен",E31*H31,0)</x:f>
        <x:v>3400</x:v>
      </x:c>
      <x:c r="L31" s="8" t="n">
        <x:f>J31-K31</x:f>
        <x:v>1704</x:v>
      </x:c>
      <x:c r="M31" s="2" t="str">
        <x:f>TEXT(B31,"yyyy-mm")</x:f>
        <x:v>2026-07</x:v>
      </x:c>
    </x:row>
    <x:row r="32" ht="26" customHeight="1">
      <x:c r="A32" s="2" t="str">
        <x:v>O031</x:v>
      </x:c>
      <x:c r="B32" s="7" t="d">
        <x:v>2026-07-03T00:00:00.000Z</x:v>
      </x:c>
      <x:c r="C32" s="2" t="str">
        <x:v>Рюкзак</x:v>
      </x:c>
      <x:c r="D32" s="2" t="str">
        <x:v>Маркетплейс</x:v>
      </x:c>
      <x:c r="E32" s="29" t="n">
        <x:v>2</x:v>
      </x:c>
      <x:c r="F32" s="8" t="n">
        <x:v>3600</x:v>
      </x:c>
      <x:c r="G32" s="8" t="n">
        <x:v>864</x:v>
      </x:c>
      <x:c r="H32" s="8" t="n">
        <x:v>1900</x:v>
      </x:c>
      <x:c r="I32" s="2" t="str">
        <x:v>оплачен</x:v>
      </x:c>
      <x:c r="J32" s="8" t="n">
        <x:f>IF(I32="оплачен",E32*F32-G32,0)</x:f>
        <x:v>6336</x:v>
      </x:c>
      <x:c r="K32" s="8" t="n">
        <x:f>IF(I32="оплачен",E32*H32,0)</x:f>
        <x:v>3800</x:v>
      </x:c>
      <x:c r="L32" s="8" t="n">
        <x:f>J32-K32</x:f>
        <x:v>2536</x:v>
      </x:c>
      <x:c r="M32" s="2" t="str">
        <x:f>TEXT(B32,"yyyy-mm")</x:f>
        <x:v>2026-07</x:v>
      </x:c>
    </x:row>
    <x:row r="33" ht="26" customHeight="1">
      <x:c r="A33" s="2" t="str">
        <x:v>O032</x:v>
      </x:c>
      <x:c r="B33" s="7" t="d">
        <x:v>2026-07-04T00:00:00.000Z</x:v>
      </x:c>
      <x:c r="C33" s="2" t="str">
        <x:v>Рюкзак</x:v>
      </x:c>
      <x:c r="D33" s="2" t="str">
        <x:v>Маркетплейс</x:v>
      </x:c>
      <x:c r="E33" s="29" t="n">
        <x:v>4</x:v>
      </x:c>
      <x:c r="F33" s="8" t="n">
        <x:v>3600</x:v>
      </x:c>
      <x:c r="G33" s="8" t="n">
        <x:v>1728</x:v>
      </x:c>
      <x:c r="H33" s="8" t="n">
        <x:v>1900</x:v>
      </x:c>
      <x:c r="I33" s="2" t="str">
        <x:v>оплачен</x:v>
      </x:c>
      <x:c r="J33" s="8" t="n">
        <x:f>IF(I33="оплачен",E33*F33-G33,0)</x:f>
        <x:v>12672</x:v>
      </x:c>
      <x:c r="K33" s="8" t="n">
        <x:f>IF(I33="оплачен",E33*H33,0)</x:f>
        <x:v>7600</x:v>
      </x:c>
      <x:c r="L33" s="8" t="n">
        <x:f>J33-K33</x:f>
        <x:v>5072</x:v>
      </x:c>
      <x:c r="M33" s="2" t="str">
        <x:f>TEXT(B33,"yyyy-mm")</x:f>
        <x:v>2026-07</x:v>
      </x:c>
    </x:row>
    <x:row r="34" ht="26" customHeight="1">
      <x:c r="A34" s="2" t="str">
        <x:v>O033</x:v>
      </x:c>
      <x:c r="B34" s="7" t="d">
        <x:v>2026-07-05T00:00:00.000Z</x:v>
      </x:c>
      <x:c r="C34" s="2" t="str">
        <x:v>Термокружка</x:v>
      </x:c>
      <x:c r="D34" s="2" t="str">
        <x:v>Соцсети</x:v>
      </x:c>
      <x:c r="E34" s="29" t="n">
        <x:v>3</x:v>
      </x:c>
      <x:c r="F34" s="8" t="n">
        <x:v>1600</x:v>
      </x:c>
      <x:c r="G34" s="8" t="n">
        <x:v>144</x:v>
      </x:c>
      <x:c r="H34" s="8" t="n">
        <x:v>650</x:v>
      </x:c>
      <x:c r="I34" s="2" t="str">
        <x:v>оплачен</x:v>
      </x:c>
      <x:c r="J34" s="8" t="n">
        <x:f>IF(I34="оплачен",E34*F34-G34,0)</x:f>
        <x:v>4656</x:v>
      </x:c>
      <x:c r="K34" s="8" t="n">
        <x:f>IF(I34="оплачен",E34*H34,0)</x:f>
        <x:v>1950</x:v>
      </x:c>
      <x:c r="L34" s="8" t="n">
        <x:f>J34-K34</x:f>
        <x:v>2706</x:v>
      </x:c>
      <x:c r="M34" s="2" t="str">
        <x:f>TEXT(B34,"yyyy-mm")</x:f>
        <x:v>2026-07</x:v>
      </x:c>
    </x:row>
    <x:row r="35" ht="26" customHeight="1">
      <x:c r="A35" s="2" t="str">
        <x:v>O034</x:v>
      </x:c>
      <x:c r="B35" s="7" t="d">
        <x:v>2026-07-06T00:00:00.000Z</x:v>
      </x:c>
      <x:c r="C35" s="2" t="str">
        <x:v>Термокружка</x:v>
      </x:c>
      <x:c r="D35" s="2" t="str">
        <x:v>Соцсети</x:v>
      </x:c>
      <x:c r="E35" s="29" t="n">
        <x:v>2</x:v>
      </x:c>
      <x:c r="F35" s="8" t="n">
        <x:v>1600</x:v>
      </x:c>
      <x:c r="G35" s="8" t="n">
        <x:v>96</x:v>
      </x:c>
      <x:c r="H35" s="8" t="n">
        <x:v>650</x:v>
      </x:c>
      <x:c r="I35" s="2" t="str">
        <x:v>оплачен</x:v>
      </x:c>
      <x:c r="J35" s="8" t="n">
        <x:f>IF(I35="оплачен",E35*F35-G35,0)</x:f>
        <x:v>3104</x:v>
      </x:c>
      <x:c r="K35" s="8" t="n">
        <x:f>IF(I35="оплачен",E35*H35,0)</x:f>
        <x:v>1300</x:v>
      </x:c>
      <x:c r="L35" s="8" t="n">
        <x:f>J35-K35</x:f>
        <x:v>1804</x:v>
      </x:c>
      <x:c r="M35" s="2" t="str">
        <x:f>TEXT(B35,"yyyy-mm")</x:f>
        <x:v>2026-07</x:v>
      </x:c>
    </x:row>
    <x:row r="36" ht="26" customHeight="1">
      <x:c r="A36" s="2" t="str">
        <x:v>O035</x:v>
      </x:c>
      <x:c r="B36" s="7" t="d">
        <x:v>2026-07-07T00:00:00.000Z</x:v>
      </x:c>
      <x:c r="C36" s="2" t="str">
        <x:v>Настольная лампа</x:v>
      </x:c>
      <x:c r="D36" s="2" t="str">
        <x:v>Соцсети</x:v>
      </x:c>
      <x:c r="E36" s="29" t="n">
        <x:v>3</x:v>
      </x:c>
      <x:c r="F36" s="8" t="n">
        <x:v>2900</x:v>
      </x:c>
      <x:c r="G36" s="8" t="n">
        <x:v>261</x:v>
      </x:c>
      <x:c r="H36" s="8" t="n">
        <x:v>1700</x:v>
      </x:c>
      <x:c r="I36" s="2" t="str">
        <x:v>возвращён</x:v>
      </x:c>
      <x:c r="J36" s="8" t="n">
        <x:f>IF(I36="оплачен",E36*F36-G36,0)</x:f>
        <x:v>0</x:v>
      </x:c>
      <x:c r="K36" s="8" t="n">
        <x:f>IF(I36="оплачен",E36*H36,0)</x:f>
        <x:v>0</x:v>
      </x:c>
      <x:c r="L36" s="8" t="n">
        <x:f>J36-K36</x:f>
        <x:v>0</x:v>
      </x:c>
      <x:c r="M36" s="2" t="str">
        <x:f>TEXT(B36,"yyyy-mm")</x:f>
        <x:v>2026-07</x:v>
      </x:c>
    </x:row>
    <x:row r="37" ht="26" customHeight="1">
      <x:c r="A37" s="2" t="str">
        <x:v>O036</x:v>
      </x:c>
      <x:c r="B37" s="7" t="d">
        <x:v>2026-07-08T00:00:00.000Z</x:v>
      </x:c>
      <x:c r="C37" s="2" t="str">
        <x:v>Термокружка</x:v>
      </x:c>
      <x:c r="D37" s="2" t="str">
        <x:v>Сайт</x:v>
      </x:c>
      <x:c r="E37" s="29" t="n">
        <x:v>2</x:v>
      </x:c>
      <x:c r="F37" s="8" t="n">
        <x:v>1600</x:v>
      </x:c>
      <x:c r="G37" s="8" t="n">
        <x:v>96</x:v>
      </x:c>
      <x:c r="H37" s="8" t="n">
        <x:v>650</x:v>
      </x:c>
      <x:c r="I37" s="2" t="str">
        <x:v>оплачен</x:v>
      </x:c>
      <x:c r="J37" s="8" t="n">
        <x:f>IF(I37="оплачен",E37*F37-G37,0)</x:f>
        <x:v>3104</x:v>
      </x:c>
      <x:c r="K37" s="8" t="n">
        <x:f>IF(I37="оплачен",E37*H37,0)</x:f>
        <x:v>1300</x:v>
      </x:c>
      <x:c r="L37" s="8" t="n">
        <x:f>J37-K37</x:f>
        <x:v>1804</x:v>
      </x:c>
      <x:c r="M37" s="2" t="str">
        <x:f>TEXT(B37,"yyyy-mm")</x:f>
        <x:v>2026-07</x:v>
      </x:c>
    </x:row>
    <x:row r="38" ht="26" customHeight="1">
      <x:c r="A38" s="2" t="str">
        <x:v>O037</x:v>
      </x:c>
      <x:c r="B38" s="7" t="d">
        <x:v>2026-07-09T00:00:00.000Z</x:v>
      </x:c>
      <x:c r="C38" s="2" t="str">
        <x:v>Термокружка</x:v>
      </x:c>
      <x:c r="D38" s="2" t="str">
        <x:v>Сайт</x:v>
      </x:c>
      <x:c r="E38" s="29" t="n">
        <x:v>2</x:v>
      </x:c>
      <x:c r="F38" s="8" t="n">
        <x:v>1600</x:v>
      </x:c>
      <x:c r="G38" s="8" t="n">
        <x:v>96</x:v>
      </x:c>
      <x:c r="H38" s="8" t="n">
        <x:v>650</x:v>
      </x:c>
      <x:c r="I38" s="2" t="str">
        <x:v>оплачен</x:v>
      </x:c>
      <x:c r="J38" s="8" t="n">
        <x:f>IF(I38="оплачен",E38*F38-G38,0)</x:f>
        <x:v>3104</x:v>
      </x:c>
      <x:c r="K38" s="8" t="n">
        <x:f>IF(I38="оплачен",E38*H38,0)</x:f>
        <x:v>1300</x:v>
      </x:c>
      <x:c r="L38" s="8" t="n">
        <x:f>J38-K38</x:f>
        <x:v>1804</x:v>
      </x:c>
      <x:c r="M38" s="2" t="str">
        <x:f>TEXT(B38,"yyyy-mm")</x:f>
        <x:v>2026-07</x:v>
      </x:c>
    </x:row>
    <x:row r="39" ht="26" customHeight="1">
      <x:c r="A39" s="2" t="str">
        <x:v>O038</x:v>
      </x:c>
      <x:c r="B39" s="7" t="d">
        <x:v>2026-07-10T00:00:00.000Z</x:v>
      </x:c>
      <x:c r="C39" s="2" t="str">
        <x:v>Термокружка</x:v>
      </x:c>
      <x:c r="D39" s="2" t="str">
        <x:v>Сайт</x:v>
      </x:c>
      <x:c r="E39" s="29" t="n">
        <x:v>3</x:v>
      </x:c>
      <x:c r="F39" s="8" t="n">
        <x:v>1600</x:v>
      </x:c>
      <x:c r="G39" s="8" t="n">
        <x:v>144</x:v>
      </x:c>
      <x:c r="H39" s="8" t="n">
        <x:v>650</x:v>
      </x:c>
      <x:c r="I39" s="2" t="str">
        <x:v>оплачен</x:v>
      </x:c>
      <x:c r="J39" s="8" t="n">
        <x:f>IF(I39="оплачен",E39*F39-G39,0)</x:f>
        <x:v>4656</x:v>
      </x:c>
      <x:c r="K39" s="8" t="n">
        <x:f>IF(I39="оплачен",E39*H39,0)</x:f>
        <x:v>1950</x:v>
      </x:c>
      <x:c r="L39" s="8" t="n">
        <x:f>J39-K39</x:f>
        <x:v>2706</x:v>
      </x:c>
      <x:c r="M39" s="2" t="str">
        <x:f>TEXT(B39,"yyyy-mm")</x:f>
        <x:v>2026-07</x:v>
      </x:c>
    </x:row>
    <x:row r="40" ht="26" customHeight="1">
      <x:c r="A40" s="2" t="str">
        <x:v>O039</x:v>
      </x:c>
      <x:c r="B40" s="7" t="d">
        <x:v>2026-07-11T00:00:00.000Z</x:v>
      </x:c>
      <x:c r="C40" s="2" t="str">
        <x:v>Термокружка</x:v>
      </x:c>
      <x:c r="D40" s="2" t="str">
        <x:v>Соцсети</x:v>
      </x:c>
      <x:c r="E40" s="29" t="n">
        <x:v>3</x:v>
      </x:c>
      <x:c r="F40" s="8" t="n">
        <x:v>1600</x:v>
      </x:c>
      <x:c r="G40" s="8" t="n">
        <x:v>144</x:v>
      </x:c>
      <x:c r="H40" s="8" t="n">
        <x:v>650</x:v>
      </x:c>
      <x:c r="I40" s="2" t="str">
        <x:v>оплачен</x:v>
      </x:c>
      <x:c r="J40" s="8" t="n">
        <x:f>IF(I40="оплачен",E40*F40-G40,0)</x:f>
        <x:v>4656</x:v>
      </x:c>
      <x:c r="K40" s="8" t="n">
        <x:f>IF(I40="оплачен",E40*H40,0)</x:f>
        <x:v>1950</x:v>
      </x:c>
      <x:c r="L40" s="8" t="n">
        <x:f>J40-K40</x:f>
        <x:v>2706</x:v>
      </x:c>
      <x:c r="M40" s="2" t="str">
        <x:f>TEXT(B40,"yyyy-mm")</x:f>
        <x:v>2026-07</x:v>
      </x:c>
    </x:row>
    <x:row r="41" ht="26" customHeight="1">
      <x:c r="A41" s="2" t="str">
        <x:v>O040</x:v>
      </x:c>
      <x:c r="B41" s="7" t="d">
        <x:v>2026-07-12T00:00:00.000Z</x:v>
      </x:c>
      <x:c r="C41" s="2" t="str">
        <x:v>Рюкзак</x:v>
      </x:c>
      <x:c r="D41" s="2" t="str">
        <x:v>Соцсети</x:v>
      </x:c>
      <x:c r="E41" s="29" t="n">
        <x:v>1</x:v>
      </x:c>
      <x:c r="F41" s="8" t="n">
        <x:v>3600</x:v>
      </x:c>
      <x:c r="G41" s="8" t="n">
        <x:v>108</x:v>
      </x:c>
      <x:c r="H41" s="8" t="n">
        <x:v>1900</x:v>
      </x:c>
      <x:c r="I41" s="2" t="str">
        <x:v>отменён</x:v>
      </x:c>
      <x:c r="J41" s="8" t="n">
        <x:f>IF(I41="оплачен",E41*F41-G41,0)</x:f>
        <x:v>0</x:v>
      </x:c>
      <x:c r="K41" s="8" t="n">
        <x:f>IF(I41="оплачен",E41*H41,0)</x:f>
        <x:v>0</x:v>
      </x:c>
      <x:c r="L41" s="8" t="n">
        <x:f>J41-K41</x:f>
        <x:v>0</x:v>
      </x:c>
      <x:c r="M41" s="2" t="str">
        <x:f>TEXT(B41,"yyyy-mm")</x:f>
        <x:v>2026-07</x:v>
      </x:c>
    </x:row>
    <x:row r="42" ht="26" customHeight="1">
      <x:c r="A42" s="2" t="str">
        <x:v>O041</x:v>
      </x:c>
      <x:c r="B42" s="7" t="d">
        <x:v>2026-07-13T00:00:00.000Z</x:v>
      </x:c>
      <x:c r="C42" s="2" t="str">
        <x:v>Настольная лампа</x:v>
      </x:c>
      <x:c r="D42" s="2" t="str">
        <x:v>Соцсети</x:v>
      </x:c>
      <x:c r="E42" s="29" t="n">
        <x:v>4</x:v>
      </x:c>
      <x:c r="F42" s="8" t="n">
        <x:v>2900</x:v>
      </x:c>
      <x:c r="G42" s="8" t="n">
        <x:v>348</x:v>
      </x:c>
      <x:c r="H42" s="8" t="n">
        <x:v>1700</x:v>
      </x:c>
      <x:c r="I42" s="2" t="str">
        <x:v>оплачен</x:v>
      </x:c>
      <x:c r="J42" s="8" t="n">
        <x:f>IF(I42="оплачен",E42*F42-G42,0)</x:f>
        <x:v>11252</x:v>
      </x:c>
      <x:c r="K42" s="8" t="n">
        <x:f>IF(I42="оплачен",E42*H42,0)</x:f>
        <x:v>6800</x:v>
      </x:c>
      <x:c r="L42" s="8" t="n">
        <x:f>J42-K42</x:f>
        <x:v>4452</x:v>
      </x:c>
      <x:c r="M42" s="2" t="str">
        <x:f>TEXT(B42,"yyyy-mm")</x:f>
        <x:v>2026-07</x:v>
      </x:c>
    </x:row>
    <x:row r="43" ht="26" customHeight="1">
      <x:c r="A43" s="2" t="str">
        <x:v>O042</x:v>
      </x:c>
      <x:c r="B43" s="7" t="d">
        <x:v>2026-07-14T00:00:00.000Z</x:v>
      </x:c>
      <x:c r="C43" s="2" t="str">
        <x:v>Настольная лампа</x:v>
      </x:c>
      <x:c r="D43" s="2" t="str">
        <x:v>Маркетплейс</x:v>
      </x:c>
      <x:c r="E43" s="29" t="n">
        <x:v>1</x:v>
      </x:c>
      <x:c r="F43" s="8" t="n">
        <x:v>2900</x:v>
      </x:c>
      <x:c r="G43" s="8" t="n">
        <x:v>348</x:v>
      </x:c>
      <x:c r="H43" s="8" t="n">
        <x:v>1700</x:v>
      </x:c>
      <x:c r="I43" s="2" t="str">
        <x:v>оплачен</x:v>
      </x:c>
      <x:c r="J43" s="8" t="n">
        <x:f>IF(I43="оплачен",E43*F43-G43,0)</x:f>
        <x:v>2552</x:v>
      </x:c>
      <x:c r="K43" s="8" t="n">
        <x:f>IF(I43="оплачен",E43*H43,0)</x:f>
        <x:v>1700</x:v>
      </x:c>
      <x:c r="L43" s="8" t="n">
        <x:f>J43-K43</x:f>
        <x:v>852</x:v>
      </x:c>
      <x:c r="M43" s="2" t="str">
        <x:f>TEXT(B43,"yyyy-mm")</x:f>
        <x:v>2026-07</x:v>
      </x:c>
    </x:row>
    <x:row r="44" ht="26" customHeight="1">
      <x:c r="A44" s="2" t="str">
        <x:v>O043</x:v>
      </x:c>
      <x:c r="B44" s="7" t="d">
        <x:v>2026-07-15T00:00:00.000Z</x:v>
      </x:c>
      <x:c r="C44" s="2" t="str">
        <x:v>Термокружка</x:v>
      </x:c>
      <x:c r="D44" s="2" t="str">
        <x:v>Маркетплейс</x:v>
      </x:c>
      <x:c r="E44" s="29" t="n">
        <x:v>1</x:v>
      </x:c>
      <x:c r="F44" s="8" t="n">
        <x:v>1600</x:v>
      </x:c>
      <x:c r="G44" s="8" t="n">
        <x:v>192</x:v>
      </x:c>
      <x:c r="H44" s="8" t="n">
        <x:v>650</x:v>
      </x:c>
      <x:c r="I44" s="2" t="str">
        <x:v>оплачен</x:v>
      </x:c>
      <x:c r="J44" s="8" t="n">
        <x:f>IF(I44="оплачен",E44*F44-G44,0)</x:f>
        <x:v>1408</x:v>
      </x:c>
      <x:c r="K44" s="8" t="n">
        <x:f>IF(I44="оплачен",E44*H44,0)</x:f>
        <x:v>650</x:v>
      </x:c>
      <x:c r="L44" s="8" t="n">
        <x:f>J44-K44</x:f>
        <x:v>758</x:v>
      </x:c>
      <x:c r="M44" s="2" t="str">
        <x:f>TEXT(B44,"yyyy-mm")</x:f>
        <x:v>2026-07</x:v>
      </x:c>
    </x:row>
    <x:row r="45" ht="26" customHeight="1">
      <x:c r="A45" s="2" t="str">
        <x:v>O044</x:v>
      </x:c>
      <x:c r="B45" s="7" t="d">
        <x:v>2026-07-16T00:00:00.000Z</x:v>
      </x:c>
      <x:c r="C45" s="2" t="str">
        <x:v>Планер</x:v>
      </x:c>
      <x:c r="D45" s="2" t="str">
        <x:v>Соцсети</x:v>
      </x:c>
      <x:c r="E45" s="29" t="n">
        <x:v>2</x:v>
      </x:c>
      <x:c r="F45" s="8" t="n">
        <x:v>800</x:v>
      </x:c>
      <x:c r="G45" s="8" t="n">
        <x:v>48</x:v>
      </x:c>
      <x:c r="H45" s="8" t="n">
        <x:v>280</x:v>
      </x:c>
      <x:c r="I45" s="2" t="str">
        <x:v>оплачен</x:v>
      </x:c>
      <x:c r="J45" s="8" t="n">
        <x:f>IF(I45="оплачен",E45*F45-G45,0)</x:f>
        <x:v>1552</x:v>
      </x:c>
      <x:c r="K45" s="8" t="n">
        <x:f>IF(I45="оплачен",E45*H45,0)</x:f>
        <x:v>560</x:v>
      </x:c>
      <x:c r="L45" s="8" t="n">
        <x:f>J45-K45</x:f>
        <x:v>992</x:v>
      </x:c>
      <x:c r="M45" s="2" t="str">
        <x:f>TEXT(B45,"yyyy-mm")</x:f>
        <x:v>2026-07</x:v>
      </x:c>
    </x:row>
    <x:row r="46" ht="26" customHeight="1">
      <x:c r="A46" s="2" t="str">
        <x:v>O045</x:v>
      </x:c>
      <x:c r="B46" s="7" t="d">
        <x:v>2026-07-17T00:00:00.000Z</x:v>
      </x:c>
      <x:c r="C46" s="2" t="str">
        <x:v>Рюкзак</x:v>
      </x:c>
      <x:c r="D46" s="2" t="str">
        <x:v>Соцсети</x:v>
      </x:c>
      <x:c r="E46" s="29" t="n">
        <x:v>4</x:v>
      </x:c>
      <x:c r="F46" s="8" t="n">
        <x:v>3600</x:v>
      </x:c>
      <x:c r="G46" s="8" t="n">
        <x:v>432</x:v>
      </x:c>
      <x:c r="H46" s="8" t="n">
        <x:v>1900</x:v>
      </x:c>
      <x:c r="I46" s="2" t="str">
        <x:v>оплачен</x:v>
      </x:c>
      <x:c r="J46" s="8" t="n">
        <x:f>IF(I46="оплачен",E46*F46-G46,0)</x:f>
        <x:v>13968</x:v>
      </x:c>
      <x:c r="K46" s="8" t="n">
        <x:f>IF(I46="оплачен",E46*H46,0)</x:f>
        <x:v>7600</x:v>
      </x:c>
      <x:c r="L46" s="8" t="n">
        <x:f>J46-K46</x:f>
        <x:v>6368</x:v>
      </x:c>
      <x:c r="M46" s="2" t="str">
        <x:f>TEXT(B46,"yyyy-mm")</x:f>
        <x:v>2026-07</x:v>
      </x:c>
    </x:row>
    <x:row r="47" ht="26" customHeight="1">
      <x:c r="A47" s="2" t="str">
        <x:v>O046</x:v>
      </x:c>
      <x:c r="B47" s="7" t="d">
        <x:v>2026-07-18T00:00:00.000Z</x:v>
      </x:c>
      <x:c r="C47" s="2" t="str">
        <x:v>Настольная лампа</x:v>
      </x:c>
      <x:c r="D47" s="2" t="str">
        <x:v>Маркетплейс</x:v>
      </x:c>
      <x:c r="E47" s="29" t="n">
        <x:v>4</x:v>
      </x:c>
      <x:c r="F47" s="8" t="n">
        <x:v>2900</x:v>
      </x:c>
      <x:c r="G47" s="8" t="n">
        <x:v>1392</x:v>
      </x:c>
      <x:c r="H47" s="8" t="n">
        <x:v>1700</x:v>
      </x:c>
      <x:c r="I47" s="2" t="str">
        <x:v>оплачен</x:v>
      </x:c>
      <x:c r="J47" s="8" t="n">
        <x:f>IF(I47="оплачен",E47*F47-G47,0)</x:f>
        <x:v>10208</x:v>
      </x:c>
      <x:c r="K47" s="8" t="n">
        <x:f>IF(I47="оплачен",E47*H47,0)</x:f>
        <x:v>6800</x:v>
      </x:c>
      <x:c r="L47" s="8" t="n">
        <x:f>J47-K47</x:f>
        <x:v>3408</x:v>
      </x:c>
      <x:c r="M47" s="2" t="str">
        <x:f>TEXT(B47,"yyyy-mm")</x:f>
        <x:v>2026-07</x:v>
      </x:c>
    </x:row>
    <x:row r="48" ht="26" customHeight="1">
      <x:c r="A48" s="2" t="str">
        <x:v>O047</x:v>
      </x:c>
      <x:c r="B48" s="7" t="d">
        <x:v>2026-07-19T00:00:00.000Z</x:v>
      </x:c>
      <x:c r="C48" s="2" t="str">
        <x:v>Планер</x:v>
      </x:c>
      <x:c r="D48" s="2" t="str">
        <x:v>Сайт</x:v>
      </x:c>
      <x:c r="E48" s="29" t="n">
        <x:v>4</x:v>
      </x:c>
      <x:c r="F48" s="8" t="n">
        <x:v>800</x:v>
      </x:c>
      <x:c r="G48" s="8" t="n">
        <x:v>96</x:v>
      </x:c>
      <x:c r="H48" s="8" t="n">
        <x:v>280</x:v>
      </x:c>
      <x:c r="I48" s="2" t="str">
        <x:v>оплачен</x:v>
      </x:c>
      <x:c r="J48" s="8" t="n">
        <x:f>IF(I48="оплачен",E48*F48-G48,0)</x:f>
        <x:v>3104</x:v>
      </x:c>
      <x:c r="K48" s="8" t="n">
        <x:f>IF(I48="оплачен",E48*H48,0)</x:f>
        <x:v>1120</x:v>
      </x:c>
      <x:c r="L48" s="8" t="n">
        <x:f>J48-K48</x:f>
        <x:v>1984</x:v>
      </x:c>
      <x:c r="M48" s="2" t="str">
        <x:f>TEXT(B48,"yyyy-mm")</x:f>
        <x:v>2026-07</x:v>
      </x:c>
    </x:row>
    <x:row r="49" ht="26" customHeight="1">
      <x:c r="A49" s="2" t="str">
        <x:v>O048</x:v>
      </x:c>
      <x:c r="B49" s="7" t="d">
        <x:v>2026-07-20T00:00:00.000Z</x:v>
      </x:c>
      <x:c r="C49" s="2" t="str">
        <x:v>Термокружка</x:v>
      </x:c>
      <x:c r="D49" s="2" t="str">
        <x:v>Маркетплейс</x:v>
      </x:c>
      <x:c r="E49" s="29" t="n">
        <x:v>2</x:v>
      </x:c>
      <x:c r="F49" s="8" t="n">
        <x:v>1600</x:v>
      </x:c>
      <x:c r="G49" s="8" t="n">
        <x:v>384</x:v>
      </x:c>
      <x:c r="H49" s="8" t="n">
        <x:v>650</x:v>
      </x:c>
      <x:c r="I49" s="2" t="str">
        <x:v>оплачен</x:v>
      </x:c>
      <x:c r="J49" s="8" t="n">
        <x:f>IF(I49="оплачен",E49*F49-G49,0)</x:f>
        <x:v>2816</x:v>
      </x:c>
      <x:c r="K49" s="8" t="n">
        <x:f>IF(I49="оплачен",E49*H49,0)</x:f>
        <x:v>1300</x:v>
      </x:c>
      <x:c r="L49" s="8" t="n">
        <x:f>J49-K49</x:f>
        <x:v>1516</x:v>
      </x:c>
      <x:c r="M49" s="2" t="str">
        <x:f>TEXT(B49,"yyyy-mm")</x:f>
        <x:v>2026-07</x:v>
      </x:c>
    </x:row>
    <x:row r="50" ht="26" customHeight="1">
      <x:c r="A50" s="2" t="str">
        <x:v>O049</x:v>
      </x:c>
      <x:c r="B50" s="7" t="d">
        <x:v>2026-07-21T00:00:00.000Z</x:v>
      </x:c>
      <x:c r="C50" s="2" t="str">
        <x:v>Рюкзак</x:v>
      </x:c>
      <x:c r="D50" s="2" t="str">
        <x:v>Маркетплейс</x:v>
      </x:c>
      <x:c r="E50" s="29" t="n">
        <x:v>1</x:v>
      </x:c>
      <x:c r="F50" s="8" t="n">
        <x:v>3600</x:v>
      </x:c>
      <x:c r="G50" s="8" t="n">
        <x:v>432</x:v>
      </x:c>
      <x:c r="H50" s="8" t="n">
        <x:v>1900</x:v>
      </x:c>
      <x:c r="I50" s="2" t="str">
        <x:v>оплачен</x:v>
      </x:c>
      <x:c r="J50" s="8" t="n">
        <x:f>IF(I50="оплачен",E50*F50-G50,0)</x:f>
        <x:v>3168</x:v>
      </x:c>
      <x:c r="K50" s="8" t="n">
        <x:f>IF(I50="оплачен",E50*H50,0)</x:f>
        <x:v>1900</x:v>
      </x:c>
      <x:c r="L50" s="8" t="n">
        <x:f>J50-K50</x:f>
        <x:v>1268</x:v>
      </x:c>
      <x:c r="M50" s="2" t="str">
        <x:f>TEXT(B50,"yyyy-mm")</x:f>
        <x:v>2026-07</x:v>
      </x:c>
    </x:row>
    <x:row r="51" ht="26" customHeight="1">
      <x:c r="A51" s="2" t="str">
        <x:v>O050</x:v>
      </x:c>
      <x:c r="B51" s="7" t="d">
        <x:v>2026-07-22T00:00:00.000Z</x:v>
      </x:c>
      <x:c r="C51" s="2" t="str">
        <x:v>Планер</x:v>
      </x:c>
      <x:c r="D51" s="2" t="str">
        <x:v>Соцсети</x:v>
      </x:c>
      <x:c r="E51" s="29" t="n">
        <x:v>1</x:v>
      </x:c>
      <x:c r="F51" s="8" t="n">
        <x:v>800</x:v>
      </x:c>
      <x:c r="G51" s="8" t="n">
        <x:v>24</x:v>
      </x:c>
      <x:c r="H51" s="8" t="n">
        <x:v>280</x:v>
      </x:c>
      <x:c r="I51" s="2" t="str">
        <x:v>оплачен</x:v>
      </x:c>
      <x:c r="J51" s="8" t="n">
        <x:f>IF(I51="оплачен",E51*F51-G51,0)</x:f>
        <x:v>776</x:v>
      </x:c>
      <x:c r="K51" s="8" t="n">
        <x:f>IF(I51="оплачен",E51*H51,0)</x:f>
        <x:v>280</x:v>
      </x:c>
      <x:c r="L51" s="8" t="n">
        <x:f>J51-K51</x:f>
        <x:v>496</x:v>
      </x:c>
      <x:c r="M51" s="2" t="str">
        <x:f>TEXT(B51,"yyyy-mm")</x:f>
        <x:v>2026-07</x:v>
      </x:c>
    </x:row>
    <x:row r="52" ht="26" customHeight="1">
      <x:c r="A52" s="2" t="str">
        <x:v>O051</x:v>
      </x:c>
      <x:c r="B52" s="7" t="d">
        <x:v>2026-07-23T00:00:00.000Z</x:v>
      </x:c>
      <x:c r="C52" s="2" t="str">
        <x:v>Планер</x:v>
      </x:c>
      <x:c r="D52" s="2" t="str">
        <x:v>Соцсети</x:v>
      </x:c>
      <x:c r="E52" s="29" t="n">
        <x:v>2</x:v>
      </x:c>
      <x:c r="F52" s="8" t="n">
        <x:v>800</x:v>
      </x:c>
      <x:c r="G52" s="8" t="n">
        <x:v>48</x:v>
      </x:c>
      <x:c r="H52" s="8" t="n">
        <x:v>280</x:v>
      </x:c>
      <x:c r="I52" s="2" t="str">
        <x:v>оплачен</x:v>
      </x:c>
      <x:c r="J52" s="8" t="n">
        <x:f>IF(I52="оплачен",E52*F52-G52,0)</x:f>
        <x:v>1552</x:v>
      </x:c>
      <x:c r="K52" s="8" t="n">
        <x:f>IF(I52="оплачен",E52*H52,0)</x:f>
        <x:v>560</x:v>
      </x:c>
      <x:c r="L52" s="8" t="n">
        <x:f>J52-K52</x:f>
        <x:v>992</x:v>
      </x:c>
      <x:c r="M52" s="2" t="str">
        <x:f>TEXT(B52,"yyyy-mm")</x:f>
        <x:v>2026-07</x:v>
      </x:c>
    </x:row>
    <x:row r="53" ht="26" customHeight="1">
      <x:c r="A53" s="2" t="str">
        <x:v>O052</x:v>
      </x:c>
      <x:c r="B53" s="7" t="d">
        <x:v>2026-07-24T00:00:00.000Z</x:v>
      </x:c>
      <x:c r="C53" s="2" t="str">
        <x:v>Планер</x:v>
      </x:c>
      <x:c r="D53" s="2" t="str">
        <x:v>Сайт</x:v>
      </x:c>
      <x:c r="E53" s="29" t="n">
        <x:v>2</x:v>
      </x:c>
      <x:c r="F53" s="8" t="n">
        <x:v>800</x:v>
      </x:c>
      <x:c r="G53" s="8" t="n">
        <x:v>48</x:v>
      </x:c>
      <x:c r="H53" s="8" t="n">
        <x:v>280</x:v>
      </x:c>
      <x:c r="I53" s="2" t="str">
        <x:v>возвращён</x:v>
      </x:c>
      <x:c r="J53" s="8" t="n">
        <x:f>IF(I53="оплачен",E53*F53-G53,0)</x:f>
        <x:v>0</x:v>
      </x:c>
      <x:c r="K53" s="8" t="n">
        <x:f>IF(I53="оплачен",E53*H53,0)</x:f>
        <x:v>0</x:v>
      </x:c>
      <x:c r="L53" s="8" t="n">
        <x:f>J53-K53</x:f>
        <x:v>0</x:v>
      </x:c>
      <x:c r="M53" s="2" t="str">
        <x:f>TEXT(B53,"yyyy-mm")</x:f>
        <x:v>2026-07</x:v>
      </x:c>
    </x:row>
    <x:row r="54" ht="26" customHeight="1">
      <x:c r="A54" s="2" t="str">
        <x:v>O053</x:v>
      </x:c>
      <x:c r="B54" s="7" t="d">
        <x:v>2026-07-25T00:00:00.000Z</x:v>
      </x:c>
      <x:c r="C54" s="2" t="str">
        <x:v>Рюкзак</x:v>
      </x:c>
      <x:c r="D54" s="2" t="str">
        <x:v>Сайт</x:v>
      </x:c>
      <x:c r="E54" s="29" t="n">
        <x:v>3</x:v>
      </x:c>
      <x:c r="F54" s="8" t="n">
        <x:v>3600</x:v>
      </x:c>
      <x:c r="G54" s="8" t="n">
        <x:v>324</x:v>
      </x:c>
      <x:c r="H54" s="8" t="n">
        <x:v>1900</x:v>
      </x:c>
      <x:c r="I54" s="2" t="str">
        <x:v>отменён</x:v>
      </x:c>
      <x:c r="J54" s="8" t="n">
        <x:f>IF(I54="оплачен",E54*F54-G54,0)</x:f>
        <x:v>0</x:v>
      </x:c>
      <x:c r="K54" s="8" t="n">
        <x:f>IF(I54="оплачен",E54*H54,0)</x:f>
        <x:v>0</x:v>
      </x:c>
      <x:c r="L54" s="8" t="n">
        <x:f>J54-K54</x:f>
        <x:v>0</x:v>
      </x:c>
      <x:c r="M54" s="2" t="str">
        <x:f>TEXT(B54,"yyyy-mm")</x:f>
        <x:v>2026-07</x:v>
      </x:c>
    </x:row>
    <x:row r="55" ht="26" customHeight="1">
      <x:c r="A55" s="2" t="str">
        <x:v>O054</x:v>
      </x:c>
      <x:c r="B55" s="7" t="d">
        <x:v>2026-07-26T00:00:00.000Z</x:v>
      </x:c>
      <x:c r="C55" s="2" t="str">
        <x:v>Настольная лампа</x:v>
      </x:c>
      <x:c r="D55" s="2" t="str">
        <x:v>Соцсети</x:v>
      </x:c>
      <x:c r="E55" s="29" t="n">
        <x:v>2</x:v>
      </x:c>
      <x:c r="F55" s="8" t="n">
        <x:v>2900</x:v>
      </x:c>
      <x:c r="G55" s="8" t="n">
        <x:v>174</x:v>
      </x:c>
      <x:c r="H55" s="8" t="n">
        <x:v>1700</x:v>
      </x:c>
      <x:c r="I55" s="2" t="str">
        <x:v>оплачен</x:v>
      </x:c>
      <x:c r="J55" s="8" t="n">
        <x:f>IF(I55="оплачен",E55*F55-G55,0)</x:f>
        <x:v>5626</x:v>
      </x:c>
      <x:c r="K55" s="8" t="n">
        <x:f>IF(I55="оплачен",E55*H55,0)</x:f>
        <x:v>3400</x:v>
      </x:c>
      <x:c r="L55" s="8" t="n">
        <x:f>J55-K55</x:f>
        <x:v>2226</x:v>
      </x:c>
      <x:c r="M55" s="2" t="str">
        <x:f>TEXT(B55,"yyyy-mm")</x:f>
        <x:v>2026-07</x:v>
      </x:c>
    </x:row>
    <x:row r="56" ht="26" customHeight="1">
      <x:c r="A56" s="2" t="str">
        <x:v>O055</x:v>
      </x:c>
      <x:c r="B56" s="7" t="d">
        <x:v>2026-07-27T00:00:00.000Z</x:v>
      </x:c>
      <x:c r="C56" s="2" t="str">
        <x:v>Планер</x:v>
      </x:c>
      <x:c r="D56" s="2" t="str">
        <x:v>Соцсети</x:v>
      </x:c>
      <x:c r="E56" s="29" t="n">
        <x:v>2</x:v>
      </x:c>
      <x:c r="F56" s="8" t="n">
        <x:v>800</x:v>
      </x:c>
      <x:c r="G56" s="8" t="n">
        <x:v>48</x:v>
      </x:c>
      <x:c r="H56" s="8" t="n">
        <x:v>280</x:v>
      </x:c>
      <x:c r="I56" s="2" t="str">
        <x:v>оплачен</x:v>
      </x:c>
      <x:c r="J56" s="8" t="n">
        <x:f>IF(I56="оплачен",E56*F56-G56,0)</x:f>
        <x:v>1552</x:v>
      </x:c>
      <x:c r="K56" s="8" t="n">
        <x:f>IF(I56="оплачен",E56*H56,0)</x:f>
        <x:v>560</x:v>
      </x:c>
      <x:c r="L56" s="8" t="n">
        <x:f>J56-K56</x:f>
        <x:v>992</x:v>
      </x:c>
      <x:c r="M56" s="2" t="str">
        <x:f>TEXT(B56,"yyyy-mm")</x:f>
        <x:v>2026-07</x:v>
      </x:c>
    </x:row>
    <x:row r="57" ht="26" customHeight="1">
      <x:c r="A57" s="2" t="str">
        <x:v>O056</x:v>
      </x:c>
      <x:c r="B57" s="7" t="d">
        <x:v>2026-07-28T00:00:00.000Z</x:v>
      </x:c>
      <x:c r="C57" s="2" t="str">
        <x:v>Термокружка</x:v>
      </x:c>
      <x:c r="D57" s="2" t="str">
        <x:v>Маркетплейс</x:v>
      </x:c>
      <x:c r="E57" s="29" t="n">
        <x:v>4</x:v>
      </x:c>
      <x:c r="F57" s="8" t="n">
        <x:v>1600</x:v>
      </x:c>
      <x:c r="G57" s="8" t="n">
        <x:v>768</x:v>
      </x:c>
      <x:c r="H57" s="8" t="n">
        <x:v>650</x:v>
      </x:c>
      <x:c r="I57" s="2" t="str">
        <x:v>оплачен</x:v>
      </x:c>
      <x:c r="J57" s="8" t="n">
        <x:f>IF(I57="оплачен",E57*F57-G57,0)</x:f>
        <x:v>5632</x:v>
      </x:c>
      <x:c r="K57" s="8" t="n">
        <x:f>IF(I57="оплачен",E57*H57,0)</x:f>
        <x:v>2600</x:v>
      </x:c>
      <x:c r="L57" s="8" t="n">
        <x:f>J57-K57</x:f>
        <x:v>3032</x:v>
      </x:c>
      <x:c r="M57" s="2" t="str">
        <x:f>TEXT(B57,"yyyy-mm")</x:f>
        <x:v>2026-07</x:v>
      </x:c>
    </x:row>
    <x:row r="58" ht="26" customHeight="1">
      <x:c r="A58" s="2" t="str">
        <x:v>O057</x:v>
      </x:c>
      <x:c r="B58" s="7" t="d">
        <x:v>2026-07-01T00:00:00.000Z</x:v>
      </x:c>
      <x:c r="C58" s="2" t="str">
        <x:v>Рюкзак</x:v>
      </x:c>
      <x:c r="D58" s="2" t="str">
        <x:v>Сайт</x:v>
      </x:c>
      <x:c r="E58" s="29" t="n">
        <x:v>4</x:v>
      </x:c>
      <x:c r="F58" s="8" t="n">
        <x:v>3600</x:v>
      </x:c>
      <x:c r="G58" s="8" t="n">
        <x:v>432</x:v>
      </x:c>
      <x:c r="H58" s="8" t="n">
        <x:v>1900</x:v>
      </x:c>
      <x:c r="I58" s="2" t="str">
        <x:v>оплачен</x:v>
      </x:c>
      <x:c r="J58" s="8" t="n">
        <x:f>IF(I58="оплачен",E58*F58-G58,0)</x:f>
        <x:v>13968</x:v>
      </x:c>
      <x:c r="K58" s="8" t="n">
        <x:f>IF(I58="оплачен",E58*H58,0)</x:f>
        <x:v>7600</x:v>
      </x:c>
      <x:c r="L58" s="8" t="n">
        <x:f>J58-K58</x:f>
        <x:v>6368</x:v>
      </x:c>
      <x:c r="M58" s="2" t="str">
        <x:f>TEXT(B58,"yyyy-mm")</x:f>
        <x:v>2026-07</x:v>
      </x:c>
    </x:row>
    <x:row r="59" ht="26" customHeight="1">
      <x:c r="A59" s="2" t="str">
        <x:v>O058</x:v>
      </x:c>
      <x:c r="B59" s="7" t="d">
        <x:v>2026-07-02T00:00:00.000Z</x:v>
      </x:c>
      <x:c r="C59" s="2" t="str">
        <x:v>Планер</x:v>
      </x:c>
      <x:c r="D59" s="2" t="str">
        <x:v>Маркетплейс</x:v>
      </x:c>
      <x:c r="E59" s="29" t="n">
        <x:v>1</x:v>
      </x:c>
      <x:c r="F59" s="8" t="n">
        <x:v>800</x:v>
      </x:c>
      <x:c r="G59" s="8" t="n">
        <x:v>96</x:v>
      </x:c>
      <x:c r="H59" s="8" t="n">
        <x:v>280</x:v>
      </x:c>
      <x:c r="I59" s="2" t="str">
        <x:v>оплачен</x:v>
      </x:c>
      <x:c r="J59" s="8" t="n">
        <x:f>IF(I59="оплачен",E59*F59-G59,0)</x:f>
        <x:v>704</x:v>
      </x:c>
      <x:c r="K59" s="8" t="n">
        <x:f>IF(I59="оплачен",E59*H59,0)</x:f>
        <x:v>280</x:v>
      </x:c>
      <x:c r="L59" s="8" t="n">
        <x:f>J59-K59</x:f>
        <x:v>424</x:v>
      </x:c>
      <x:c r="M59" s="2" t="str">
        <x:f>TEXT(B59,"yyyy-mm")</x:f>
        <x:v>2026-07</x:v>
      </x:c>
    </x:row>
    <x:row r="60" ht="26" customHeight="1">
      <x:c r="A60" s="2" t="str">
        <x:v>O059</x:v>
      </x:c>
      <x:c r="B60" s="7" t="d">
        <x:v>2026-07-03T00:00:00.000Z</x:v>
      </x:c>
      <x:c r="C60" s="2" t="str">
        <x:v>Настольная лампа</x:v>
      </x:c>
      <x:c r="D60" s="2" t="str">
        <x:v>Маркетплейс</x:v>
      </x:c>
      <x:c r="E60" s="29" t="n">
        <x:v>2</x:v>
      </x:c>
      <x:c r="F60" s="8" t="n">
        <x:v>2900</x:v>
      </x:c>
      <x:c r="G60" s="8" t="n">
        <x:v>696</x:v>
      </x:c>
      <x:c r="H60" s="8" t="n">
        <x:v>1700</x:v>
      </x:c>
      <x:c r="I60" s="2" t="str">
        <x:v>оплачен</x:v>
      </x:c>
      <x:c r="J60" s="8" t="n">
        <x:f>IF(I60="оплачен",E60*F60-G60,0)</x:f>
        <x:v>5104</x:v>
      </x:c>
      <x:c r="K60" s="8" t="n">
        <x:f>IF(I60="оплачен",E60*H60,0)</x:f>
        <x:v>3400</x:v>
      </x:c>
      <x:c r="L60" s="8" t="n">
        <x:f>J60-K60</x:f>
        <x:v>1704</x:v>
      </x:c>
      <x:c r="M60" s="2" t="str">
        <x:f>TEXT(B60,"yyyy-mm")</x:f>
        <x:v>2026-07</x:v>
      </x:c>
    </x:row>
    <x:row r="61" ht="26" customHeight="1">
      <x:c r="A61" s="2" t="str">
        <x:v>O060</x:v>
      </x:c>
      <x:c r="B61" s="7" t="d">
        <x:v>2026-07-04T00:00:00.000Z</x:v>
      </x:c>
      <x:c r="C61" s="2" t="str">
        <x:v>Термокружка</x:v>
      </x:c>
      <x:c r="D61" s="2" t="str">
        <x:v>Маркетплейс</x:v>
      </x:c>
      <x:c r="E61" s="29" t="n">
        <x:v>1</x:v>
      </x:c>
      <x:c r="F61" s="8" t="n">
        <x:v>1600</x:v>
      </x:c>
      <x:c r="G61" s="8" t="n">
        <x:v>192</x:v>
      </x:c>
      <x:c r="H61" s="8" t="n">
        <x:v>650</x:v>
      </x:c>
      <x:c r="I61" s="2" t="str">
        <x:v>оплачен</x:v>
      </x:c>
      <x:c r="J61" s="8" t="n">
        <x:f>IF(I61="оплачен",E61*F61-G61,0)</x:f>
        <x:v>1408</x:v>
      </x:c>
      <x:c r="K61" s="8" t="n">
        <x:f>IF(I61="оплачен",E61*H61,0)</x:f>
        <x:v>650</x:v>
      </x:c>
      <x:c r="L61" s="8" t="n">
        <x:f>J61-K61</x:f>
        <x:v>758</x:v>
      </x:c>
      <x:c r="M61" s="2" t="str">
        <x:f>TEXT(B61,"yyyy-mm")</x:f>
        <x:v>2026-07</x:v>
      </x:c>
    </x:row>
    <x:row r="62" ht="26" customHeight="1">
      <x:c r="A62" s="2" t="str">
        <x:v>O061</x:v>
      </x:c>
      <x:c r="B62" s="7" t="d">
        <x:v>2026-07-05T00:00:00.000Z</x:v>
      </x:c>
      <x:c r="C62" s="2" t="str">
        <x:v>Рюкзак</x:v>
      </x:c>
      <x:c r="D62" s="2" t="str">
        <x:v>Маркетплейс</x:v>
      </x:c>
      <x:c r="E62" s="29" t="n">
        <x:v>2</x:v>
      </x:c>
      <x:c r="F62" s="8" t="n">
        <x:v>3600</x:v>
      </x:c>
      <x:c r="G62" s="8" t="n">
        <x:v>864</x:v>
      </x:c>
      <x:c r="H62" s="8" t="n">
        <x:v>1900</x:v>
      </x:c>
      <x:c r="I62" s="2" t="str">
        <x:v>оплачен</x:v>
      </x:c>
      <x:c r="J62" s="8" t="n">
        <x:f>IF(I62="оплачен",E62*F62-G62,0)</x:f>
        <x:v>6336</x:v>
      </x:c>
      <x:c r="K62" s="8" t="n">
        <x:f>IF(I62="оплачен",E62*H62,0)</x:f>
        <x:v>3800</x:v>
      </x:c>
      <x:c r="L62" s="8" t="n">
        <x:f>J62-K62</x:f>
        <x:v>2536</x:v>
      </x:c>
      <x:c r="M62" s="2" t="str">
        <x:f>TEXT(B62,"yyyy-mm")</x:f>
        <x:v>2026-07</x:v>
      </x:c>
    </x:row>
    <x:row r="63" ht="26" customHeight="1">
      <x:c r="A63" s="2" t="str">
        <x:v>O062</x:v>
      </x:c>
      <x:c r="B63" s="7" t="d">
        <x:v>2026-07-06T00:00:00.000Z</x:v>
      </x:c>
      <x:c r="C63" s="2" t="str">
        <x:v>Термокружка</x:v>
      </x:c>
      <x:c r="D63" s="2" t="str">
        <x:v>Соцсети</x:v>
      </x:c>
      <x:c r="E63" s="29" t="n">
        <x:v>3</x:v>
      </x:c>
      <x:c r="F63" s="8" t="n">
        <x:v>1600</x:v>
      </x:c>
      <x:c r="G63" s="8" t="n">
        <x:v>144</x:v>
      </x:c>
      <x:c r="H63" s="8" t="n">
        <x:v>650</x:v>
      </x:c>
      <x:c r="I63" s="2" t="str">
        <x:v>оплачен</x:v>
      </x:c>
      <x:c r="J63" s="8" t="n">
        <x:f>IF(I63="оплачен",E63*F63-G63,0)</x:f>
        <x:v>4656</x:v>
      </x:c>
      <x:c r="K63" s="8" t="n">
        <x:f>IF(I63="оплачен",E63*H63,0)</x:f>
        <x:v>1950</x:v>
      </x:c>
      <x:c r="L63" s="8" t="n">
        <x:f>J63-K63</x:f>
        <x:v>2706</x:v>
      </x:c>
      <x:c r="M63" s="2" t="str">
        <x:f>TEXT(B63,"yyyy-mm")</x:f>
        <x:v>2026-07</x:v>
      </x:c>
    </x:row>
    <x:row r="64" ht="26" customHeight="1">
      <x:c r="A64" s="2" t="str">
        <x:v>O063</x:v>
      </x:c>
      <x:c r="B64" s="7" t="d">
        <x:v>2026-07-07T00:00:00.000Z</x:v>
      </x:c>
      <x:c r="C64" s="2" t="str">
        <x:v>Настольная лампа</x:v>
      </x:c>
      <x:c r="D64" s="2" t="str">
        <x:v>Маркетплейс</x:v>
      </x:c>
      <x:c r="E64" s="29" t="n">
        <x:v>1</x:v>
      </x:c>
      <x:c r="F64" s="8" t="n">
        <x:v>2900</x:v>
      </x:c>
      <x:c r="G64" s="8" t="n">
        <x:v>348</x:v>
      </x:c>
      <x:c r="H64" s="8" t="n">
        <x:v>1700</x:v>
      </x:c>
      <x:c r="I64" s="2" t="str">
        <x:v>оплачен</x:v>
      </x:c>
      <x:c r="J64" s="8" t="n">
        <x:f>IF(I64="оплачен",E64*F64-G64,0)</x:f>
        <x:v>2552</x:v>
      </x:c>
      <x:c r="K64" s="8" t="n">
        <x:f>IF(I64="оплачен",E64*H64,0)</x:f>
        <x:v>1700</x:v>
      </x:c>
      <x:c r="L64" s="8" t="n">
        <x:f>J64-K64</x:f>
        <x:v>852</x:v>
      </x:c>
      <x:c r="M64" s="2" t="str">
        <x:f>TEXT(B64,"yyyy-mm")</x:f>
        <x:v>2026-07</x:v>
      </x:c>
    </x:row>
    <x:row r="65" ht="26" customHeight="1">
      <x:c r="A65" s="2" t="str">
        <x:v>O064</x:v>
      </x:c>
      <x:c r="B65" s="7" t="d">
        <x:v>2026-07-08T00:00:00.000Z</x:v>
      </x:c>
      <x:c r="C65" s="2" t="str">
        <x:v>Настольная лампа</x:v>
      </x:c>
      <x:c r="D65" s="2" t="str">
        <x:v>Сайт</x:v>
      </x:c>
      <x:c r="E65" s="29" t="n">
        <x:v>2</x:v>
      </x:c>
      <x:c r="F65" s="8" t="n">
        <x:v>2900</x:v>
      </x:c>
      <x:c r="G65" s="8" t="n">
        <x:v>174</x:v>
      </x:c>
      <x:c r="H65" s="8" t="n">
        <x:v>1700</x:v>
      </x:c>
      <x:c r="I65" s="2" t="str">
        <x:v>оплачен</x:v>
      </x:c>
      <x:c r="J65" s="8" t="n">
        <x:f>IF(I65="оплачен",E65*F65-G65,0)</x:f>
        <x:v>5626</x:v>
      </x:c>
      <x:c r="K65" s="8" t="n">
        <x:f>IF(I65="оплачен",E65*H65,0)</x:f>
        <x:v>3400</x:v>
      </x:c>
      <x:c r="L65" s="8" t="n">
        <x:f>J65-K65</x:f>
        <x:v>2226</x:v>
      </x:c>
      <x:c r="M65" s="2" t="str">
        <x:f>TEXT(B65,"yyyy-mm")</x:f>
        <x:v>2026-07</x:v>
      </x:c>
    </x:row>
    <x:row r="66" ht="26" customHeight="1">
      <x:c r="A66" s="2" t="str">
        <x:v>O065</x:v>
      </x:c>
      <x:c r="B66" s="7" t="d">
        <x:v>2026-07-09T00:00:00.000Z</x:v>
      </x:c>
      <x:c r="C66" s="2" t="str">
        <x:v>Планер</x:v>
      </x:c>
      <x:c r="D66" s="2" t="str">
        <x:v>Маркетплейс</x:v>
      </x:c>
      <x:c r="E66" s="29" t="n">
        <x:v>4</x:v>
      </x:c>
      <x:c r="F66" s="8" t="n">
        <x:v>800</x:v>
      </x:c>
      <x:c r="G66" s="8" t="n">
        <x:v>384</x:v>
      </x:c>
      <x:c r="H66" s="8" t="n">
        <x:v>280</x:v>
      </x:c>
      <x:c r="I66" s="2" t="str">
        <x:v>оплачен</x:v>
      </x:c>
      <x:c r="J66" s="8" t="n">
        <x:f>IF(I66="оплачен",E66*F66-G66,0)</x:f>
        <x:v>2816</x:v>
      </x:c>
      <x:c r="K66" s="8" t="n">
        <x:f>IF(I66="оплачен",E66*H66,0)</x:f>
        <x:v>1120</x:v>
      </x:c>
      <x:c r="L66" s="8" t="n">
        <x:f>J66-K66</x:f>
        <x:v>1696</x:v>
      </x:c>
      <x:c r="M66" s="2" t="str">
        <x:f>TEXT(B66,"yyyy-mm")</x:f>
        <x:v>2026-07</x:v>
      </x:c>
    </x:row>
    <x:row r="67" ht="26" customHeight="1">
      <x:c r="A67" s="2" t="str">
        <x:v>O066</x:v>
      </x:c>
      <x:c r="B67" s="7" t="d">
        <x:v>2026-07-10T00:00:00.000Z</x:v>
      </x:c>
      <x:c r="C67" s="2" t="str">
        <x:v>Настольная лампа</x:v>
      </x:c>
      <x:c r="D67" s="2" t="str">
        <x:v>Маркетплейс</x:v>
      </x:c>
      <x:c r="E67" s="29" t="n">
        <x:v>4</x:v>
      </x:c>
      <x:c r="F67" s="8" t="n">
        <x:v>2900</x:v>
      </x:c>
      <x:c r="G67" s="8" t="n">
        <x:v>1392</x:v>
      </x:c>
      <x:c r="H67" s="8" t="n">
        <x:v>1700</x:v>
      </x:c>
      <x:c r="I67" s="2" t="str">
        <x:v>отменён</x:v>
      </x:c>
      <x:c r="J67" s="8" t="n">
        <x:f>IF(I67="оплачен",E67*F67-G67,0)</x:f>
        <x:v>0</x:v>
      </x:c>
      <x:c r="K67" s="8" t="n">
        <x:f>IF(I67="оплачен",E67*H67,0)</x:f>
        <x:v>0</x:v>
      </x:c>
      <x:c r="L67" s="8" t="n">
        <x:f>J67-K67</x:f>
        <x:v>0</x:v>
      </x:c>
      <x:c r="M67" s="2" t="str">
        <x:f>TEXT(B67,"yyyy-mm")</x:f>
        <x:v>2026-07</x:v>
      </x:c>
    </x:row>
    <x:row r="68" ht="26" customHeight="1">
      <x:c r="A68" s="2" t="str">
        <x:v>O067</x:v>
      </x:c>
      <x:c r="B68" s="7" t="d">
        <x:v>2026-07-11T00:00:00.000Z</x:v>
      </x:c>
      <x:c r="C68" s="2" t="str">
        <x:v>Термокружка</x:v>
      </x:c>
      <x:c r="D68" s="2" t="str">
        <x:v>Маркетплейс</x:v>
      </x:c>
      <x:c r="E68" s="29" t="n">
        <x:v>1</x:v>
      </x:c>
      <x:c r="F68" s="8" t="n">
        <x:v>1600</x:v>
      </x:c>
      <x:c r="G68" s="8" t="n">
        <x:v>192</x:v>
      </x:c>
      <x:c r="H68" s="8" t="n">
        <x:v>650</x:v>
      </x:c>
      <x:c r="I68" s="2" t="str">
        <x:v>оплачен</x:v>
      </x:c>
      <x:c r="J68" s="8" t="n">
        <x:f>IF(I68="оплачен",E68*F68-G68,0)</x:f>
        <x:v>1408</x:v>
      </x:c>
      <x:c r="K68" s="8" t="n">
        <x:f>IF(I68="оплачен",E68*H68,0)</x:f>
        <x:v>650</x:v>
      </x:c>
      <x:c r="L68" s="8" t="n">
        <x:f>J68-K68</x:f>
        <x:v>758</x:v>
      </x:c>
      <x:c r="M68" s="2" t="str">
        <x:f>TEXT(B68,"yyyy-mm")</x:f>
        <x:v>2026-07</x:v>
      </x:c>
    </x:row>
    <x:row r="69" ht="26" customHeight="1">
      <x:c r="A69" s="2" t="str">
        <x:v>O068</x:v>
      </x:c>
      <x:c r="B69" s="7" t="d">
        <x:v>2026-07-12T00:00:00.000Z</x:v>
      </x:c>
      <x:c r="C69" s="2" t="str">
        <x:v>Термокружка</x:v>
      </x:c>
      <x:c r="D69" s="2" t="str">
        <x:v>Соцсети</x:v>
      </x:c>
      <x:c r="E69" s="29" t="n">
        <x:v>4</x:v>
      </x:c>
      <x:c r="F69" s="8" t="n">
        <x:v>1600</x:v>
      </x:c>
      <x:c r="G69" s="8" t="n">
        <x:v>192</x:v>
      </x:c>
      <x:c r="H69" s="8" t="n">
        <x:v>650</x:v>
      </x:c>
      <x:c r="I69" s="2" t="str">
        <x:v>оплачен</x:v>
      </x:c>
      <x:c r="J69" s="8" t="n">
        <x:f>IF(I69="оплачен",E69*F69-G69,0)</x:f>
        <x:v>6208</x:v>
      </x:c>
      <x:c r="K69" s="8" t="n">
        <x:f>IF(I69="оплачен",E69*H69,0)</x:f>
        <x:v>2600</x:v>
      </x:c>
      <x:c r="L69" s="8" t="n">
        <x:f>J69-K69</x:f>
        <x:v>3608</x:v>
      </x:c>
      <x:c r="M69" s="2" t="str">
        <x:f>TEXT(B69,"yyyy-mm")</x:f>
        <x:v>2026-07</x:v>
      </x:c>
    </x:row>
    <x:row r="70" ht="26" customHeight="1">
      <x:c r="A70" s="2" t="str">
        <x:v>O069</x:v>
      </x:c>
      <x:c r="B70" s="7" t="d">
        <x:v>2026-07-13T00:00:00.000Z</x:v>
      </x:c>
      <x:c r="C70" s="2" t="str">
        <x:v>Настольная лампа</x:v>
      </x:c>
      <x:c r="D70" s="2" t="str">
        <x:v>Соцсети</x:v>
      </x:c>
      <x:c r="E70" s="29" t="n">
        <x:v>1</x:v>
      </x:c>
      <x:c r="F70" s="8" t="n">
        <x:v>2900</x:v>
      </x:c>
      <x:c r="G70" s="8" t="n">
        <x:v>87</x:v>
      </x:c>
      <x:c r="H70" s="8" t="n">
        <x:v>1700</x:v>
      </x:c>
      <x:c r="I70" s="2" t="str">
        <x:v>возвращён</x:v>
      </x:c>
      <x:c r="J70" s="8" t="n">
        <x:f>IF(I70="оплачен",E70*F70-G70,0)</x:f>
        <x:v>0</x:v>
      </x:c>
      <x:c r="K70" s="8" t="n">
        <x:f>IF(I70="оплачен",E70*H70,0)</x:f>
        <x:v>0</x:v>
      </x:c>
      <x:c r="L70" s="8" t="n">
        <x:f>J70-K70</x:f>
        <x:v>0</x:v>
      </x:c>
      <x:c r="M70" s="2" t="str">
        <x:f>TEXT(B70,"yyyy-mm")</x:f>
        <x:v>2026-07</x:v>
      </x:c>
    </x:row>
    <x:row r="71" ht="26" customHeight="1">
      <x:c r="A71" s="2" t="str">
        <x:v>O070</x:v>
      </x:c>
      <x:c r="B71" s="7" t="d">
        <x:v>2026-07-14T00:00:00.000Z</x:v>
      </x:c>
      <x:c r="C71" s="2" t="str">
        <x:v>Настольная лампа</x:v>
      </x:c>
      <x:c r="D71" s="2" t="str">
        <x:v>Соцсети</x:v>
      </x:c>
      <x:c r="E71" s="29" t="n">
        <x:v>4</x:v>
      </x:c>
      <x:c r="F71" s="8" t="n">
        <x:v>2900</x:v>
      </x:c>
      <x:c r="G71" s="8" t="n">
        <x:v>348</x:v>
      </x:c>
      <x:c r="H71" s="8" t="n">
        <x:v>1700</x:v>
      </x:c>
      <x:c r="I71" s="2" t="str">
        <x:v>оплачен</x:v>
      </x:c>
      <x:c r="J71" s="8" t="n">
        <x:f>IF(I71="оплачен",E71*F71-G71,0)</x:f>
        <x:v>11252</x:v>
      </x:c>
      <x:c r="K71" s="8" t="n">
        <x:f>IF(I71="оплачен",E71*H71,0)</x:f>
        <x:v>6800</x:v>
      </x:c>
      <x:c r="L71" s="8" t="n">
        <x:f>J71-K71</x:f>
        <x:v>4452</x:v>
      </x:c>
      <x:c r="M71" s="2" t="str">
        <x:f>TEXT(B71,"yyyy-mm")</x:f>
        <x:v>2026-07</x:v>
      </x:c>
    </x:row>
    <x:row r="72" ht="26" customHeight="1">
      <x:c r="A72" s="2" t="str">
        <x:v>O071</x:v>
      </x:c>
      <x:c r="B72" s="7" t="d">
        <x:v>2026-07-15T00:00:00.000Z</x:v>
      </x:c>
      <x:c r="C72" s="2" t="str">
        <x:v>Термокружка</x:v>
      </x:c>
      <x:c r="D72" s="2" t="str">
        <x:v>Соцсети</x:v>
      </x:c>
      <x:c r="E72" s="29" t="n">
        <x:v>1</x:v>
      </x:c>
      <x:c r="F72" s="8" t="n">
        <x:v>1600</x:v>
      </x:c>
      <x:c r="G72" s="8" t="n">
        <x:v>48</x:v>
      </x:c>
      <x:c r="H72" s="8" t="n">
        <x:v>650</x:v>
      </x:c>
      <x:c r="I72" s="2" t="str">
        <x:v>оплачен</x:v>
      </x:c>
      <x:c r="J72" s="8" t="n">
        <x:f>IF(I72="оплачен",E72*F72-G72,0)</x:f>
        <x:v>1552</x:v>
      </x:c>
      <x:c r="K72" s="8" t="n">
        <x:f>IF(I72="оплачен",E72*H72,0)</x:f>
        <x:v>650</x:v>
      </x:c>
      <x:c r="L72" s="8" t="n">
        <x:f>J72-K72</x:f>
        <x:v>902</x:v>
      </x:c>
      <x:c r="M72" s="2" t="str">
        <x:f>TEXT(B72,"yyyy-mm")</x:f>
        <x:v>2026-07</x:v>
      </x:c>
    </x:row>
    <x:row r="73" ht="26" customHeight="1">
      <x:c r="A73" s="2" t="str">
        <x:v>O072</x:v>
      </x:c>
      <x:c r="B73" s="7" t="d">
        <x:v>2026-07-16T00:00:00.000Z</x:v>
      </x:c>
      <x:c r="C73" s="2" t="str">
        <x:v>Настольная лампа</x:v>
      </x:c>
      <x:c r="D73" s="2" t="str">
        <x:v>Сайт</x:v>
      </x:c>
      <x:c r="E73" s="29" t="n">
        <x:v>1</x:v>
      </x:c>
      <x:c r="F73" s="8" t="n">
        <x:v>2900</x:v>
      </x:c>
      <x:c r="G73" s="8" t="n">
        <x:v>87</x:v>
      </x:c>
      <x:c r="H73" s="8" t="n">
        <x:v>1700</x:v>
      </x:c>
      <x:c r="I73" s="2" t="str">
        <x:v>оплачен</x:v>
      </x:c>
      <x:c r="J73" s="8" t="n">
        <x:f>IF(I73="оплачен",E73*F73-G73,0)</x:f>
        <x:v>2813</x:v>
      </x:c>
      <x:c r="K73" s="8" t="n">
        <x:f>IF(I73="оплачен",E73*H73,0)</x:f>
        <x:v>1700</x:v>
      </x:c>
      <x:c r="L73" s="8" t="n">
        <x:f>J73-K73</x:f>
        <x:v>1113</x:v>
      </x:c>
      <x:c r="M73" s="2" t="str">
        <x:f>TEXT(B73,"yyyy-mm")</x:f>
        <x:v>2026-07</x:v>
      </x:c>
    </x:row>
    <x:row r="74" ht="26" customHeight="1">
      <x:c r="A74" s="2" t="str">
        <x:v>O073</x:v>
      </x:c>
      <x:c r="B74" s="7" t="d">
        <x:v>2026-07-17T00:00:00.000Z</x:v>
      </x:c>
      <x:c r="C74" s="2" t="str">
        <x:v>Термокружка</x:v>
      </x:c>
      <x:c r="D74" s="2" t="str">
        <x:v>Соцсети</x:v>
      </x:c>
      <x:c r="E74" s="29" t="n">
        <x:v>3</x:v>
      </x:c>
      <x:c r="F74" s="8" t="n">
        <x:v>1600</x:v>
      </x:c>
      <x:c r="G74" s="8" t="n">
        <x:v>144</x:v>
      </x:c>
      <x:c r="H74" s="8" t="n">
        <x:v>650</x:v>
      </x:c>
      <x:c r="I74" s="2" t="str">
        <x:v>оплачен</x:v>
      </x:c>
      <x:c r="J74" s="8" t="n">
        <x:f>IF(I74="оплачен",E74*F74-G74,0)</x:f>
        <x:v>4656</x:v>
      </x:c>
      <x:c r="K74" s="8" t="n">
        <x:f>IF(I74="оплачен",E74*H74,0)</x:f>
        <x:v>1950</x:v>
      </x:c>
      <x:c r="L74" s="8" t="n">
        <x:f>J74-K74</x:f>
        <x:v>2706</x:v>
      </x:c>
      <x:c r="M74" s="2" t="str">
        <x:f>TEXT(B74,"yyyy-mm")</x:f>
        <x:v>2026-07</x:v>
      </x:c>
    </x:row>
    <x:row r="75" ht="26" customHeight="1">
      <x:c r="A75" s="2" t="str">
        <x:v>O074</x:v>
      </x:c>
      <x:c r="B75" s="7" t="d">
        <x:v>2026-07-18T00:00:00.000Z</x:v>
      </x:c>
      <x:c r="C75" s="2" t="str">
        <x:v>Планер</x:v>
      </x:c>
      <x:c r="D75" s="2" t="str">
        <x:v>Сайт</x:v>
      </x:c>
      <x:c r="E75" s="29" t="n">
        <x:v>4</x:v>
      </x:c>
      <x:c r="F75" s="8" t="n">
        <x:v>800</x:v>
      </x:c>
      <x:c r="G75" s="8" t="n">
        <x:v>96</x:v>
      </x:c>
      <x:c r="H75" s="8" t="n">
        <x:v>280</x:v>
      </x:c>
      <x:c r="I75" s="2" t="str">
        <x:v>оплачен</x:v>
      </x:c>
      <x:c r="J75" s="8" t="n">
        <x:f>IF(I75="оплачен",E75*F75-G75,0)</x:f>
        <x:v>3104</x:v>
      </x:c>
      <x:c r="K75" s="8" t="n">
        <x:f>IF(I75="оплачен",E75*H75,0)</x:f>
        <x:v>1120</x:v>
      </x:c>
      <x:c r="L75" s="8" t="n">
        <x:f>J75-K75</x:f>
        <x:v>1984</x:v>
      </x:c>
      <x:c r="M75" s="2" t="str">
        <x:f>TEXT(B75,"yyyy-mm")</x:f>
        <x:v>2026-07</x:v>
      </x:c>
    </x:row>
    <x:row r="76" ht="26" customHeight="1">
      <x:c r="A76" s="2" t="str">
        <x:v>O075</x:v>
      </x:c>
      <x:c r="B76" s="7" t="d">
        <x:v>2026-07-19T00:00:00.000Z</x:v>
      </x:c>
      <x:c r="C76" s="2" t="str">
        <x:v>Рюкзак</x:v>
      </x:c>
      <x:c r="D76" s="2" t="str">
        <x:v>Маркетплейс</x:v>
      </x:c>
      <x:c r="E76" s="29" t="n">
        <x:v>1</x:v>
      </x:c>
      <x:c r="F76" s="8" t="n">
        <x:v>3600</x:v>
      </x:c>
      <x:c r="G76" s="8" t="n">
        <x:v>432</x:v>
      </x:c>
      <x:c r="H76" s="8" t="n">
        <x:v>1900</x:v>
      </x:c>
      <x:c r="I76" s="2" t="str">
        <x:v>оплачен</x:v>
      </x:c>
      <x:c r="J76" s="8" t="n">
        <x:f>IF(I76="оплачен",E76*F76-G76,0)</x:f>
        <x:v>3168</x:v>
      </x:c>
      <x:c r="K76" s="8" t="n">
        <x:f>IF(I76="оплачен",E76*H76,0)</x:f>
        <x:v>1900</x:v>
      </x:c>
      <x:c r="L76" s="8" t="n">
        <x:f>J76-K76</x:f>
        <x:v>1268</x:v>
      </x:c>
      <x:c r="M76" s="2" t="str">
        <x:f>TEXT(B76,"yyyy-mm")</x:f>
        <x:v>2026-07</x:v>
      </x:c>
    </x:row>
    <x:row r="77" ht="26" customHeight="1">
      <x:c r="A77" s="2" t="str">
        <x:v>O076</x:v>
      </x:c>
      <x:c r="B77" s="7" t="d">
        <x:v>2026-07-20T00:00:00.000Z</x:v>
      </x:c>
      <x:c r="C77" s="2" t="str">
        <x:v>Планер</x:v>
      </x:c>
      <x:c r="D77" s="2" t="str">
        <x:v>Маркетплейс</x:v>
      </x:c>
      <x:c r="E77" s="29" t="n">
        <x:v>4</x:v>
      </x:c>
      <x:c r="F77" s="8" t="n">
        <x:v>800</x:v>
      </x:c>
      <x:c r="G77" s="8" t="n">
        <x:v>384</x:v>
      </x:c>
      <x:c r="H77" s="8" t="n">
        <x:v>280</x:v>
      </x:c>
      <x:c r="I77" s="2" t="str">
        <x:v>оплачен</x:v>
      </x:c>
      <x:c r="J77" s="8" t="n">
        <x:f>IF(I77="оплачен",E77*F77-G77,0)</x:f>
        <x:v>2816</x:v>
      </x:c>
      <x:c r="K77" s="8" t="n">
        <x:f>IF(I77="оплачен",E77*H77,0)</x:f>
        <x:v>1120</x:v>
      </x:c>
      <x:c r="L77" s="8" t="n">
        <x:f>J77-K77</x:f>
        <x:v>1696</x:v>
      </x:c>
      <x:c r="M77" s="2" t="str">
        <x:f>TEXT(B77,"yyyy-mm")</x:f>
        <x:v>2026-07</x:v>
      </x:c>
    </x:row>
    <x:row r="78" ht="26" customHeight="1">
      <x:c r="A78" s="2" t="str">
        <x:v>O077</x:v>
      </x:c>
      <x:c r="B78" s="7" t="d">
        <x:v>2026-07-21T00:00:00.000Z</x:v>
      </x:c>
      <x:c r="C78" s="2" t="str">
        <x:v>Планер</x:v>
      </x:c>
      <x:c r="D78" s="2" t="str">
        <x:v>Сайт</x:v>
      </x:c>
      <x:c r="E78" s="29" t="n">
        <x:v>2</x:v>
      </x:c>
      <x:c r="F78" s="8" t="n">
        <x:v>800</x:v>
      </x:c>
      <x:c r="G78" s="8" t="n">
        <x:v>48</x:v>
      </x:c>
      <x:c r="H78" s="8" t="n">
        <x:v>280</x:v>
      </x:c>
      <x:c r="I78" s="2" t="str">
        <x:v>оплачен</x:v>
      </x:c>
      <x:c r="J78" s="8" t="n">
        <x:f>IF(I78="оплачен",E78*F78-G78,0)</x:f>
        <x:v>1552</x:v>
      </x:c>
      <x:c r="K78" s="8" t="n">
        <x:f>IF(I78="оплачен",E78*H78,0)</x:f>
        <x:v>560</x:v>
      </x:c>
      <x:c r="L78" s="8" t="n">
        <x:f>J78-K78</x:f>
        <x:v>992</x:v>
      </x:c>
      <x:c r="M78" s="2" t="str">
        <x:f>TEXT(B78,"yyyy-mm")</x:f>
        <x:v>2026-07</x:v>
      </x:c>
    </x:row>
    <x:row r="79" ht="26" customHeight="1">
      <x:c r="A79" s="2" t="str">
        <x:v>O078</x:v>
      </x:c>
      <x:c r="B79" s="7" t="d">
        <x:v>2026-07-22T00:00:00.000Z</x:v>
      </x:c>
      <x:c r="C79" s="2" t="str">
        <x:v>Настольная лампа</x:v>
      </x:c>
      <x:c r="D79" s="2" t="str">
        <x:v>Соцсети</x:v>
      </x:c>
      <x:c r="E79" s="29" t="n">
        <x:v>4</x:v>
      </x:c>
      <x:c r="F79" s="8" t="n">
        <x:v>2900</x:v>
      </x:c>
      <x:c r="G79" s="8" t="n">
        <x:v>348</x:v>
      </x:c>
      <x:c r="H79" s="8" t="n">
        <x:v>1700</x:v>
      </x:c>
      <x:c r="I79" s="2" t="str">
        <x:v>оплачен</x:v>
      </x:c>
      <x:c r="J79" s="8" t="n">
        <x:f>IF(I79="оплачен",E79*F79-G79,0)</x:f>
        <x:v>11252</x:v>
      </x:c>
      <x:c r="K79" s="8" t="n">
        <x:f>IF(I79="оплачен",E79*H79,0)</x:f>
        <x:v>6800</x:v>
      </x:c>
      <x:c r="L79" s="8" t="n">
        <x:f>J79-K79</x:f>
        <x:v>4452</x:v>
      </x:c>
      <x:c r="M79" s="2" t="str">
        <x:f>TEXT(B79,"yyyy-mm")</x:f>
        <x:v>2026-07</x:v>
      </x:c>
    </x:row>
    <x:row r="80" ht="26" customHeight="1">
      <x:c r="A80" s="2" t="str">
        <x:v>O079</x:v>
      </x:c>
      <x:c r="B80" s="7" t="d">
        <x:v>2026-07-23T00:00:00.000Z</x:v>
      </x:c>
      <x:c r="C80" s="2" t="str">
        <x:v>Планер</x:v>
      </x:c>
      <x:c r="D80" s="2" t="str">
        <x:v>Маркетплейс</x:v>
      </x:c>
      <x:c r="E80" s="29" t="n">
        <x:v>4</x:v>
      </x:c>
      <x:c r="F80" s="8" t="n">
        <x:v>800</x:v>
      </x:c>
      <x:c r="G80" s="8" t="n">
        <x:v>384</x:v>
      </x:c>
      <x:c r="H80" s="8" t="n">
        <x:v>280</x:v>
      </x:c>
      <x:c r="I80" s="2" t="str">
        <x:v>отменён</x:v>
      </x:c>
      <x:c r="J80" s="8" t="n">
        <x:f>IF(I80="оплачен",E80*F80-G80,0)</x:f>
        <x:v>0</x:v>
      </x:c>
      <x:c r="K80" s="8" t="n">
        <x:f>IF(I80="оплачен",E80*H80,0)</x:f>
        <x:v>0</x:v>
      </x:c>
      <x:c r="L80" s="8" t="n">
        <x:f>J80-K80</x:f>
        <x:v>0</x:v>
      </x:c>
      <x:c r="M80" s="2" t="str">
        <x:f>TEXT(B80,"yyyy-mm")</x:f>
        <x:v>2026-07</x:v>
      </x:c>
    </x:row>
    <x:row r="81" ht="26" customHeight="1">
      <x:c r="A81" s="2" t="str">
        <x:v>O080</x:v>
      </x:c>
      <x:c r="B81" s="7" t="d">
        <x:v>2026-07-24T00:00:00.000Z</x:v>
      </x:c>
      <x:c r="C81" s="2" t="str">
        <x:v>Планер</x:v>
      </x:c>
      <x:c r="D81" s="2" t="str">
        <x:v>Маркетплейс</x:v>
      </x:c>
      <x:c r="E81" s="29" t="n">
        <x:v>1</x:v>
      </x:c>
      <x:c r="F81" s="8" t="n">
        <x:v>800</x:v>
      </x:c>
      <x:c r="G81" s="8" t="n">
        <x:v>96</x:v>
      </x:c>
      <x:c r="H81" s="8" t="n">
        <x:v>280</x:v>
      </x:c>
      <x:c r="I81" s="2" t="str">
        <x:v>оплачен</x:v>
      </x:c>
      <x:c r="J81" s="8" t="n">
        <x:f>IF(I81="оплачен",E81*F81-G81,0)</x:f>
        <x:v>704</x:v>
      </x:c>
      <x:c r="K81" s="8" t="n">
        <x:f>IF(I81="оплачен",E81*H81,0)</x:f>
        <x:v>280</x:v>
      </x:c>
      <x:c r="L81" s="8" t="n">
        <x:f>J81-K81</x:f>
        <x:v>424</x:v>
      </x:c>
      <x:c r="M81" s="2" t="str">
        <x:f>TEXT(B81,"yyyy-mm")</x:f>
        <x:v>2026-07</x:v>
      </x:c>
    </x:row>
    <x:row r="82" ht="26" customHeight="1">
      <x:c r="A82" s="2" t="str">
        <x:v>O081</x:v>
      </x:c>
      <x:c r="B82" s="7" t="d">
        <x:v>2026-08-25T00:00:00.000Z</x:v>
      </x:c>
      <x:c r="C82" s="2" t="str">
        <x:v>Термокружка</x:v>
      </x:c>
      <x:c r="D82" s="2" t="str">
        <x:v>Соцсети</x:v>
      </x:c>
      <x:c r="E82" s="29" t="n">
        <x:v>1</x:v>
      </x:c>
      <x:c r="F82" s="8" t="n">
        <x:v>1600</x:v>
      </x:c>
      <x:c r="G82" s="8" t="n">
        <x:v>48</x:v>
      </x:c>
      <x:c r="H82" s="8" t="n">
        <x:v>650</x:v>
      </x:c>
      <x:c r="I82" s="2" t="str">
        <x:v>оплачен</x:v>
      </x:c>
      <x:c r="J82" s="8" t="n">
        <x:f>IF(I82="оплачен",E82*F82-G82,0)</x:f>
        <x:v>1552</x:v>
      </x:c>
      <x:c r="K82" s="8" t="n">
        <x:f>IF(I82="оплачен",E82*H82,0)</x:f>
        <x:v>650</x:v>
      </x:c>
      <x:c r="L82" s="8" t="n">
        <x:f>J82-K82</x:f>
        <x:v>902</x:v>
      </x:c>
      <x:c r="M82" s="2" t="str">
        <x:f>TEXT(B82,"yyyy-mm")</x:f>
        <x:v>2026-08</x:v>
      </x:c>
    </x:row>
    <x:row r="83" ht="26" customHeight="1">
      <x:c r="A83" s="2" t="str">
        <x:v>O082</x:v>
      </x:c>
      <x:c r="B83" s="7" t="d">
        <x:v>2026-08-26T00:00:00.000Z</x:v>
      </x:c>
      <x:c r="C83" s="2" t="str">
        <x:v>Термокружка</x:v>
      </x:c>
      <x:c r="D83" s="2" t="str">
        <x:v>Маркетплейс</x:v>
      </x:c>
      <x:c r="E83" s="29" t="n">
        <x:v>3</x:v>
      </x:c>
      <x:c r="F83" s="8" t="n">
        <x:v>1600</x:v>
      </x:c>
      <x:c r="G83" s="8" t="n">
        <x:v>576</x:v>
      </x:c>
      <x:c r="H83" s="8" t="n">
        <x:v>650</x:v>
      </x:c>
      <x:c r="I83" s="2" t="str">
        <x:v>оплачен</x:v>
      </x:c>
      <x:c r="J83" s="8" t="n">
        <x:f>IF(I83="оплачен",E83*F83-G83,0)</x:f>
        <x:v>4224</x:v>
      </x:c>
      <x:c r="K83" s="8" t="n">
        <x:f>IF(I83="оплачен",E83*H83,0)</x:f>
        <x:v>1950</x:v>
      </x:c>
      <x:c r="L83" s="8" t="n">
        <x:f>J83-K83</x:f>
        <x:v>2274</x:v>
      </x:c>
      <x:c r="M83" s="2" t="str">
        <x:f>TEXT(B83,"yyyy-mm")</x:f>
        <x:v>2026-08</x:v>
      </x:c>
    </x:row>
    <x:row r="84" ht="26" customHeight="1">
      <x:c r="A84" s="2" t="str">
        <x:v>O083</x:v>
      </x:c>
      <x:c r="B84" s="7" t="d">
        <x:v>2026-08-27T00:00:00.000Z</x:v>
      </x:c>
      <x:c r="C84" s="2" t="str">
        <x:v>Планер</x:v>
      </x:c>
      <x:c r="D84" s="2" t="str">
        <x:v>Сайт</x:v>
      </x:c>
      <x:c r="E84" s="29" t="n">
        <x:v>1</x:v>
      </x:c>
      <x:c r="F84" s="8" t="n">
        <x:v>800</x:v>
      </x:c>
      <x:c r="G84" s="8" t="n">
        <x:v>24</x:v>
      </x:c>
      <x:c r="H84" s="8" t="n">
        <x:v>280</x:v>
      </x:c>
      <x:c r="I84" s="2" t="str">
        <x:v>оплачен</x:v>
      </x:c>
      <x:c r="J84" s="8" t="n">
        <x:f>IF(I84="оплачен",E84*F84-G84,0)</x:f>
        <x:v>776</x:v>
      </x:c>
      <x:c r="K84" s="8" t="n">
        <x:f>IF(I84="оплачен",E84*H84,0)</x:f>
        <x:v>280</x:v>
      </x:c>
      <x:c r="L84" s="8" t="n">
        <x:f>J84-K84</x:f>
        <x:v>496</x:v>
      </x:c>
      <x:c r="M84" s="2" t="str">
        <x:f>TEXT(B84,"yyyy-mm")</x:f>
        <x:v>2026-08</x:v>
      </x:c>
    </x:row>
    <x:row r="85" ht="26" customHeight="1">
      <x:c r="A85" s="2" t="str">
        <x:v>O084</x:v>
      </x:c>
      <x:c r="B85" s="7" t="d">
        <x:v>2026-08-28T00:00:00.000Z</x:v>
      </x:c>
      <x:c r="C85" s="2" t="str">
        <x:v>Планер</x:v>
      </x:c>
      <x:c r="D85" s="2" t="str">
        <x:v>Сайт</x:v>
      </x:c>
      <x:c r="E85" s="29" t="n">
        <x:v>1</x:v>
      </x:c>
      <x:c r="F85" s="8" t="n">
        <x:v>800</x:v>
      </x:c>
      <x:c r="G85" s="8" t="n">
        <x:v>24</x:v>
      </x:c>
      <x:c r="H85" s="8" t="n">
        <x:v>280</x:v>
      </x:c>
      <x:c r="I85" s="2" t="str">
        <x:v>оплачен</x:v>
      </x:c>
      <x:c r="J85" s="8" t="n">
        <x:f>IF(I85="оплачен",E85*F85-G85,0)</x:f>
        <x:v>776</x:v>
      </x:c>
      <x:c r="K85" s="8" t="n">
        <x:f>IF(I85="оплачен",E85*H85,0)</x:f>
        <x:v>280</x:v>
      </x:c>
      <x:c r="L85" s="8" t="n">
        <x:f>J85-K85</x:f>
        <x:v>496</x:v>
      </x:c>
      <x:c r="M85" s="2" t="str">
        <x:f>TEXT(B85,"yyyy-mm")</x:f>
        <x:v>2026-08</x:v>
      </x:c>
    </x:row>
    <x:row r="86" ht="26" customHeight="1">
      <x:c r="A86" s="2" t="str">
        <x:v>O085</x:v>
      </x:c>
      <x:c r="B86" s="7" t="d">
        <x:v>2026-08-01T00:00:00.000Z</x:v>
      </x:c>
      <x:c r="C86" s="2" t="str">
        <x:v>Термокружка</x:v>
      </x:c>
      <x:c r="D86" s="2" t="str">
        <x:v>Маркетплейс</x:v>
      </x:c>
      <x:c r="E86" s="29" t="n">
        <x:v>1</x:v>
      </x:c>
      <x:c r="F86" s="8" t="n">
        <x:v>1600</x:v>
      </x:c>
      <x:c r="G86" s="8" t="n">
        <x:v>192</x:v>
      </x:c>
      <x:c r="H86" s="8" t="n">
        <x:v>650</x:v>
      </x:c>
      <x:c r="I86" s="2" t="str">
        <x:v>оплачен</x:v>
      </x:c>
      <x:c r="J86" s="8" t="n">
        <x:f>IF(I86="оплачен",E86*F86-G86,0)</x:f>
        <x:v>1408</x:v>
      </x:c>
      <x:c r="K86" s="8" t="n">
        <x:f>IF(I86="оплачен",E86*H86,0)</x:f>
        <x:v>650</x:v>
      </x:c>
      <x:c r="L86" s="8" t="n">
        <x:f>J86-K86</x:f>
        <x:v>758</x:v>
      </x:c>
      <x:c r="M86" s="2" t="str">
        <x:f>TEXT(B86,"yyyy-mm")</x:f>
        <x:v>2026-08</x:v>
      </x:c>
    </x:row>
    <x:row r="87" ht="26" customHeight="1">
      <x:c r="A87" s="2" t="str">
        <x:v>O086</x:v>
      </x:c>
      <x:c r="B87" s="7" t="d">
        <x:v>2026-08-02T00:00:00.000Z</x:v>
      </x:c>
      <x:c r="C87" s="2" t="str">
        <x:v>Настольная лампа</x:v>
      </x:c>
      <x:c r="D87" s="2" t="str">
        <x:v>Маркетплейс</x:v>
      </x:c>
      <x:c r="E87" s="29" t="n">
        <x:v>1</x:v>
      </x:c>
      <x:c r="F87" s="8" t="n">
        <x:v>2900</x:v>
      </x:c>
      <x:c r="G87" s="8" t="n">
        <x:v>348</x:v>
      </x:c>
      <x:c r="H87" s="8" t="n">
        <x:v>1700</x:v>
      </x:c>
      <x:c r="I87" s="2" t="str">
        <x:v>возвращён</x:v>
      </x:c>
      <x:c r="J87" s="8" t="n">
        <x:f>IF(I87="оплачен",E87*F87-G87,0)</x:f>
        <x:v>0</x:v>
      </x:c>
      <x:c r="K87" s="8" t="n">
        <x:f>IF(I87="оплачен",E87*H87,0)</x:f>
        <x:v>0</x:v>
      </x:c>
      <x:c r="L87" s="8" t="n">
        <x:f>J87-K87</x:f>
        <x:v>0</x:v>
      </x:c>
      <x:c r="M87" s="2" t="str">
        <x:f>TEXT(B87,"yyyy-mm")</x:f>
        <x:v>2026-08</x:v>
      </x:c>
    </x:row>
    <x:row r="88" ht="26" customHeight="1">
      <x:c r="A88" s="2" t="str">
        <x:v>O087</x:v>
      </x:c>
      <x:c r="B88" s="7" t="d">
        <x:v>2026-08-03T00:00:00.000Z</x:v>
      </x:c>
      <x:c r="C88" s="2" t="str">
        <x:v>Термокружка</x:v>
      </x:c>
      <x:c r="D88" s="2" t="str">
        <x:v>Маркетплейс</x:v>
      </x:c>
      <x:c r="E88" s="29" t="n">
        <x:v>1</x:v>
      </x:c>
      <x:c r="F88" s="8" t="n">
        <x:v>1600</x:v>
      </x:c>
      <x:c r="G88" s="8" t="n">
        <x:v>192</x:v>
      </x:c>
      <x:c r="H88" s="8" t="n">
        <x:v>650</x:v>
      </x:c>
      <x:c r="I88" s="2" t="str">
        <x:v>оплачен</x:v>
      </x:c>
      <x:c r="J88" s="8" t="n">
        <x:f>IF(I88="оплачен",E88*F88-G88,0)</x:f>
        <x:v>1408</x:v>
      </x:c>
      <x:c r="K88" s="8" t="n">
        <x:f>IF(I88="оплачен",E88*H88,0)</x:f>
        <x:v>650</x:v>
      </x:c>
      <x:c r="L88" s="8" t="n">
        <x:f>J88-K88</x:f>
        <x:v>758</x:v>
      </x:c>
      <x:c r="M88" s="2" t="str">
        <x:f>TEXT(B88,"yyyy-mm")</x:f>
        <x:v>2026-08</x:v>
      </x:c>
    </x:row>
    <x:row r="89" ht="26" customHeight="1">
      <x:c r="A89" s="2" t="str">
        <x:v>O088</x:v>
      </x:c>
      <x:c r="B89" s="7" t="d">
        <x:v>2026-08-04T00:00:00.000Z</x:v>
      </x:c>
      <x:c r="C89" s="2" t="str">
        <x:v>Планер</x:v>
      </x:c>
      <x:c r="D89" s="2" t="str">
        <x:v>Соцсети</x:v>
      </x:c>
      <x:c r="E89" s="29" t="n">
        <x:v>4</x:v>
      </x:c>
      <x:c r="F89" s="8" t="n">
        <x:v>800</x:v>
      </x:c>
      <x:c r="G89" s="8" t="n">
        <x:v>96</x:v>
      </x:c>
      <x:c r="H89" s="8" t="n">
        <x:v>280</x:v>
      </x:c>
      <x:c r="I89" s="2" t="str">
        <x:v>оплачен</x:v>
      </x:c>
      <x:c r="J89" s="8" t="n">
        <x:f>IF(I89="оплачен",E89*F89-G89,0)</x:f>
        <x:v>3104</x:v>
      </x:c>
      <x:c r="K89" s="8" t="n">
        <x:f>IF(I89="оплачен",E89*H89,0)</x:f>
        <x:v>1120</x:v>
      </x:c>
      <x:c r="L89" s="8" t="n">
        <x:f>J89-K89</x:f>
        <x:v>1984</x:v>
      </x:c>
      <x:c r="M89" s="2" t="str">
        <x:f>TEXT(B89,"yyyy-mm")</x:f>
        <x:v>2026-08</x:v>
      </x:c>
    </x:row>
    <x:row r="90" ht="26" customHeight="1">
      <x:c r="A90" s="2" t="str">
        <x:v>O089</x:v>
      </x:c>
      <x:c r="B90" s="7" t="d">
        <x:v>2026-08-05T00:00:00.000Z</x:v>
      </x:c>
      <x:c r="C90" s="2" t="str">
        <x:v>Планер</x:v>
      </x:c>
      <x:c r="D90" s="2" t="str">
        <x:v>Маркетплейс</x:v>
      </x:c>
      <x:c r="E90" s="29" t="n">
        <x:v>1</x:v>
      </x:c>
      <x:c r="F90" s="8" t="n">
        <x:v>800</x:v>
      </x:c>
      <x:c r="G90" s="8" t="n">
        <x:v>96</x:v>
      </x:c>
      <x:c r="H90" s="8" t="n">
        <x:v>280</x:v>
      </x:c>
      <x:c r="I90" s="2" t="str">
        <x:v>оплачен</x:v>
      </x:c>
      <x:c r="J90" s="8" t="n">
        <x:f>IF(I90="оплачен",E90*F90-G90,0)</x:f>
        <x:v>704</x:v>
      </x:c>
      <x:c r="K90" s="8" t="n">
        <x:f>IF(I90="оплачен",E90*H90,0)</x:f>
        <x:v>280</x:v>
      </x:c>
      <x:c r="L90" s="8" t="n">
        <x:f>J90-K90</x:f>
        <x:v>424</x:v>
      </x:c>
      <x:c r="M90" s="2" t="str">
        <x:f>TEXT(B90,"yyyy-mm")</x:f>
        <x:v>2026-08</x:v>
      </x:c>
    </x:row>
    <x:row r="91" ht="26" customHeight="1">
      <x:c r="A91" s="2" t="str">
        <x:v>O090</x:v>
      </x:c>
      <x:c r="B91" s="7" t="d">
        <x:v>2026-08-06T00:00:00.000Z</x:v>
      </x:c>
      <x:c r="C91" s="2" t="str">
        <x:v>Настольная лампа</x:v>
      </x:c>
      <x:c r="D91" s="2" t="str">
        <x:v>Маркетплейс</x:v>
      </x:c>
      <x:c r="E91" s="29" t="n">
        <x:v>3</x:v>
      </x:c>
      <x:c r="F91" s="8" t="n">
        <x:v>2900</x:v>
      </x:c>
      <x:c r="G91" s="8" t="n">
        <x:v>1044</x:v>
      </x:c>
      <x:c r="H91" s="8" t="n">
        <x:v>1700</x:v>
      </x:c>
      <x:c r="I91" s="2" t="str">
        <x:v>оплачен</x:v>
      </x:c>
      <x:c r="J91" s="8" t="n">
        <x:f>IF(I91="оплачен",E91*F91-G91,0)</x:f>
        <x:v>7656</x:v>
      </x:c>
      <x:c r="K91" s="8" t="n">
        <x:f>IF(I91="оплачен",E91*H91,0)</x:f>
        <x:v>5100</x:v>
      </x:c>
      <x:c r="L91" s="8" t="n">
        <x:f>J91-K91</x:f>
        <x:v>2556</x:v>
      </x:c>
      <x:c r="M91" s="2" t="str">
        <x:f>TEXT(B91,"yyyy-mm")</x:f>
        <x:v>2026-08</x:v>
      </x:c>
    </x:row>
    <x:row r="92" ht="26" customHeight="1">
      <x:c r="A92" s="2" t="str">
        <x:v>O091</x:v>
      </x:c>
      <x:c r="B92" s="7" t="d">
        <x:v>2026-08-07T00:00:00.000Z</x:v>
      </x:c>
      <x:c r="C92" s="2" t="str">
        <x:v>Рюкзак</x:v>
      </x:c>
      <x:c r="D92" s="2" t="str">
        <x:v>Сайт</x:v>
      </x:c>
      <x:c r="E92" s="29" t="n">
        <x:v>3</x:v>
      </x:c>
      <x:c r="F92" s="8" t="n">
        <x:v>3600</x:v>
      </x:c>
      <x:c r="G92" s="8" t="n">
        <x:v>324</x:v>
      </x:c>
      <x:c r="H92" s="8" t="n">
        <x:v>1900</x:v>
      </x:c>
      <x:c r="I92" s="2" t="str">
        <x:v>оплачен</x:v>
      </x:c>
      <x:c r="J92" s="8" t="n">
        <x:f>IF(I92="оплачен",E92*F92-G92,0)</x:f>
        <x:v>10476</x:v>
      </x:c>
      <x:c r="K92" s="8" t="n">
        <x:f>IF(I92="оплачен",E92*H92,0)</x:f>
        <x:v>5700</x:v>
      </x:c>
      <x:c r="L92" s="8" t="n">
        <x:f>J92-K92</x:f>
        <x:v>4776</x:v>
      </x:c>
      <x:c r="M92" s="2" t="str">
        <x:f>TEXT(B92,"yyyy-mm")</x:f>
        <x:v>2026-08</x:v>
      </x:c>
    </x:row>
    <x:row r="93" ht="26" customHeight="1">
      <x:c r="A93" s="2" t="str">
        <x:v>O092</x:v>
      </x:c>
      <x:c r="B93" s="7" t="d">
        <x:v>2026-08-08T00:00:00.000Z</x:v>
      </x:c>
      <x:c r="C93" s="2" t="str">
        <x:v>Настольная лампа</x:v>
      </x:c>
      <x:c r="D93" s="2" t="str">
        <x:v>Маркетплейс</x:v>
      </x:c>
      <x:c r="E93" s="29" t="n">
        <x:v>3</x:v>
      </x:c>
      <x:c r="F93" s="8" t="n">
        <x:v>2900</x:v>
      </x:c>
      <x:c r="G93" s="8" t="n">
        <x:v>1044</x:v>
      </x:c>
      <x:c r="H93" s="8" t="n">
        <x:v>1700</x:v>
      </x:c>
      <x:c r="I93" s="2" t="str">
        <x:v>отменён</x:v>
      </x:c>
      <x:c r="J93" s="8" t="n">
        <x:f>IF(I93="оплачен",E93*F93-G93,0)</x:f>
        <x:v>0</x:v>
      </x:c>
      <x:c r="K93" s="8" t="n">
        <x:f>IF(I93="оплачен",E93*H93,0)</x:f>
        <x:v>0</x:v>
      </x:c>
      <x:c r="L93" s="8" t="n">
        <x:f>J93-K93</x:f>
        <x:v>0</x:v>
      </x:c>
      <x:c r="M93" s="2" t="str">
        <x:f>TEXT(B93,"yyyy-mm")</x:f>
        <x:v>2026-08</x:v>
      </x:c>
    </x:row>
    <x:row r="94" ht="26" customHeight="1">
      <x:c r="A94" s="2" t="str">
        <x:v>O093</x:v>
      </x:c>
      <x:c r="B94" s="7" t="d">
        <x:v>2026-08-09T00:00:00.000Z</x:v>
      </x:c>
      <x:c r="C94" s="2" t="str">
        <x:v>Рюкзак</x:v>
      </x:c>
      <x:c r="D94" s="2" t="str">
        <x:v>Соцсети</x:v>
      </x:c>
      <x:c r="E94" s="29" t="n">
        <x:v>4</x:v>
      </x:c>
      <x:c r="F94" s="8" t="n">
        <x:v>3600</x:v>
      </x:c>
      <x:c r="G94" s="8" t="n">
        <x:v>432</x:v>
      </x:c>
      <x:c r="H94" s="8" t="n">
        <x:v>1900</x:v>
      </x:c>
      <x:c r="I94" s="2" t="str">
        <x:v>оплачен</x:v>
      </x:c>
      <x:c r="J94" s="8" t="n">
        <x:f>IF(I94="оплачен",E94*F94-G94,0)</x:f>
        <x:v>13968</x:v>
      </x:c>
      <x:c r="K94" s="8" t="n">
        <x:f>IF(I94="оплачен",E94*H94,0)</x:f>
        <x:v>7600</x:v>
      </x:c>
      <x:c r="L94" s="8" t="n">
        <x:f>J94-K94</x:f>
        <x:v>6368</x:v>
      </x:c>
      <x:c r="M94" s="2" t="str">
        <x:f>TEXT(B94,"yyyy-mm")</x:f>
        <x:v>2026-08</x:v>
      </x:c>
    </x:row>
    <x:row r="95" ht="26" customHeight="1">
      <x:c r="A95" s="2" t="str">
        <x:v>O094</x:v>
      </x:c>
      <x:c r="B95" s="7" t="d">
        <x:v>2026-08-10T00:00:00.000Z</x:v>
      </x:c>
      <x:c r="C95" s="2" t="str">
        <x:v>Термокружка</x:v>
      </x:c>
      <x:c r="D95" s="2" t="str">
        <x:v>Соцсети</x:v>
      </x:c>
      <x:c r="E95" s="29" t="n">
        <x:v>1</x:v>
      </x:c>
      <x:c r="F95" s="8" t="n">
        <x:v>1600</x:v>
      </x:c>
      <x:c r="G95" s="8" t="n">
        <x:v>48</x:v>
      </x:c>
      <x:c r="H95" s="8" t="n">
        <x:v>650</x:v>
      </x:c>
      <x:c r="I95" s="2" t="str">
        <x:v>оплачен</x:v>
      </x:c>
      <x:c r="J95" s="8" t="n">
        <x:f>IF(I95="оплачен",E95*F95-G95,0)</x:f>
        <x:v>1552</x:v>
      </x:c>
      <x:c r="K95" s="8" t="n">
        <x:f>IF(I95="оплачен",E95*H95,0)</x:f>
        <x:v>650</x:v>
      </x:c>
      <x:c r="L95" s="8" t="n">
        <x:f>J95-K95</x:f>
        <x:v>902</x:v>
      </x:c>
      <x:c r="M95" s="2" t="str">
        <x:f>TEXT(B95,"yyyy-mm")</x:f>
        <x:v>2026-08</x:v>
      </x:c>
    </x:row>
    <x:row r="96" ht="26" customHeight="1">
      <x:c r="A96" s="2" t="str">
        <x:v>O095</x:v>
      </x:c>
      <x:c r="B96" s="7" t="d">
        <x:v>2026-08-11T00:00:00.000Z</x:v>
      </x:c>
      <x:c r="C96" s="2" t="str">
        <x:v>Рюкзак</x:v>
      </x:c>
      <x:c r="D96" s="2" t="str">
        <x:v>Маркетплейс</x:v>
      </x:c>
      <x:c r="E96" s="29" t="n">
        <x:v>2</x:v>
      </x:c>
      <x:c r="F96" s="8" t="n">
        <x:v>3600</x:v>
      </x:c>
      <x:c r="G96" s="8" t="n">
        <x:v>864</x:v>
      </x:c>
      <x:c r="H96" s="8" t="n">
        <x:v>1900</x:v>
      </x:c>
      <x:c r="I96" s="2" t="str">
        <x:v>оплачен</x:v>
      </x:c>
      <x:c r="J96" s="8" t="n">
        <x:f>IF(I96="оплачен",E96*F96-G96,0)</x:f>
        <x:v>6336</x:v>
      </x:c>
      <x:c r="K96" s="8" t="n">
        <x:f>IF(I96="оплачен",E96*H96,0)</x:f>
        <x:v>3800</x:v>
      </x:c>
      <x:c r="L96" s="8" t="n">
        <x:f>J96-K96</x:f>
        <x:v>2536</x:v>
      </x:c>
      <x:c r="M96" s="2" t="str">
        <x:f>TEXT(B96,"yyyy-mm")</x:f>
        <x:v>2026-08</x:v>
      </x:c>
    </x:row>
    <x:row r="97" ht="26" customHeight="1">
      <x:c r="A97" s="2" t="str">
        <x:v>O096</x:v>
      </x:c>
      <x:c r="B97" s="7" t="d">
        <x:v>2026-08-12T00:00:00.000Z</x:v>
      </x:c>
      <x:c r="C97" s="2" t="str">
        <x:v>Рюкзак</x:v>
      </x:c>
      <x:c r="D97" s="2" t="str">
        <x:v>Соцсети</x:v>
      </x:c>
      <x:c r="E97" s="29" t="n">
        <x:v>1</x:v>
      </x:c>
      <x:c r="F97" s="8" t="n">
        <x:v>3600</x:v>
      </x:c>
      <x:c r="G97" s="8" t="n">
        <x:v>108</x:v>
      </x:c>
      <x:c r="H97" s="8" t="n">
        <x:v>1900</x:v>
      </x:c>
      <x:c r="I97" s="2" t="str">
        <x:v>оплачен</x:v>
      </x:c>
      <x:c r="J97" s="8" t="n">
        <x:f>IF(I97="оплачен",E97*F97-G97,0)</x:f>
        <x:v>3492</x:v>
      </x:c>
      <x:c r="K97" s="8" t="n">
        <x:f>IF(I97="оплачен",E97*H97,0)</x:f>
        <x:v>1900</x:v>
      </x:c>
      <x:c r="L97" s="8" t="n">
        <x:f>J97-K97</x:f>
        <x:v>1592</x:v>
      </x:c>
      <x:c r="M97" s="2" t="str">
        <x:f>TEXT(B97,"yyyy-mm")</x:f>
        <x:v>2026-08</x:v>
      </x:c>
    </x:row>
    <x:row r="98" ht="26" customHeight="1">
      <x:c r="A98" s="2" t="str">
        <x:v>O097</x:v>
      </x:c>
      <x:c r="B98" s="7" t="d">
        <x:v>2026-08-13T00:00:00.000Z</x:v>
      </x:c>
      <x:c r="C98" s="2" t="str">
        <x:v>Термокружка</x:v>
      </x:c>
      <x:c r="D98" s="2" t="str">
        <x:v>Маркетплейс</x:v>
      </x:c>
      <x:c r="E98" s="29" t="n">
        <x:v>2</x:v>
      </x:c>
      <x:c r="F98" s="8" t="n">
        <x:v>1600</x:v>
      </x:c>
      <x:c r="G98" s="8" t="n">
        <x:v>384</x:v>
      </x:c>
      <x:c r="H98" s="8" t="n">
        <x:v>650</x:v>
      </x:c>
      <x:c r="I98" s="2" t="str">
        <x:v>оплачен</x:v>
      </x:c>
      <x:c r="J98" s="8" t="n">
        <x:f>IF(I98="оплачен",E98*F98-G98,0)</x:f>
        <x:v>2816</x:v>
      </x:c>
      <x:c r="K98" s="8" t="n">
        <x:f>IF(I98="оплачен",E98*H98,0)</x:f>
        <x:v>1300</x:v>
      </x:c>
      <x:c r="L98" s="8" t="n">
        <x:f>J98-K98</x:f>
        <x:v>1516</x:v>
      </x:c>
      <x:c r="M98" s="2" t="str">
        <x:f>TEXT(B98,"yyyy-mm")</x:f>
        <x:v>2026-08</x:v>
      </x:c>
    </x:row>
    <x:row r="99" ht="26" customHeight="1">
      <x:c r="A99" s="2" t="str">
        <x:v>O098</x:v>
      </x:c>
      <x:c r="B99" s="7" t="d">
        <x:v>2026-08-14T00:00:00.000Z</x:v>
      </x:c>
      <x:c r="C99" s="2" t="str">
        <x:v>Планер</x:v>
      </x:c>
      <x:c r="D99" s="2" t="str">
        <x:v>Соцсети</x:v>
      </x:c>
      <x:c r="E99" s="29" t="n">
        <x:v>1</x:v>
      </x:c>
      <x:c r="F99" s="8" t="n">
        <x:v>800</x:v>
      </x:c>
      <x:c r="G99" s="8" t="n">
        <x:v>24</x:v>
      </x:c>
      <x:c r="H99" s="8" t="n">
        <x:v>280</x:v>
      </x:c>
      <x:c r="I99" s="2" t="str">
        <x:v>оплачен</x:v>
      </x:c>
      <x:c r="J99" s="8" t="n">
        <x:f>IF(I99="оплачен",E99*F99-G99,0)</x:f>
        <x:v>776</x:v>
      </x:c>
      <x:c r="K99" s="8" t="n">
        <x:f>IF(I99="оплачен",E99*H99,0)</x:f>
        <x:v>280</x:v>
      </x:c>
      <x:c r="L99" s="8" t="n">
        <x:f>J99-K99</x:f>
        <x:v>496</x:v>
      </x:c>
      <x:c r="M99" s="2" t="str">
        <x:f>TEXT(B99,"yyyy-mm")</x:f>
        <x:v>2026-08</x:v>
      </x:c>
    </x:row>
    <x:row r="100" ht="26" customHeight="1">
      <x:c r="A100" s="2" t="str">
        <x:v>O099</x:v>
      </x:c>
      <x:c r="B100" s="7" t="d">
        <x:v>2026-08-15T00:00:00.000Z</x:v>
      </x:c>
      <x:c r="C100" s="2" t="str">
        <x:v>Планер</x:v>
      </x:c>
      <x:c r="D100" s="2" t="str">
        <x:v>Соцсети</x:v>
      </x:c>
      <x:c r="E100" s="29" t="n">
        <x:v>4</x:v>
      </x:c>
      <x:c r="F100" s="8" t="n">
        <x:v>800</x:v>
      </x:c>
      <x:c r="G100" s="8" t="n">
        <x:v>96</x:v>
      </x:c>
      <x:c r="H100" s="8" t="n">
        <x:v>280</x:v>
      </x:c>
      <x:c r="I100" s="2" t="str">
        <x:v>оплачен</x:v>
      </x:c>
      <x:c r="J100" s="8" t="n">
        <x:f>IF(I100="оплачен",E100*F100-G100,0)</x:f>
        <x:v>3104</x:v>
      </x:c>
      <x:c r="K100" s="8" t="n">
        <x:f>IF(I100="оплачен",E100*H100,0)</x:f>
        <x:v>1120</x:v>
      </x:c>
      <x:c r="L100" s="8" t="n">
        <x:f>J100-K100</x:f>
        <x:v>1984</x:v>
      </x:c>
      <x:c r="M100" s="2" t="str">
        <x:f>TEXT(B100,"yyyy-mm")</x:f>
        <x:v>2026-08</x:v>
      </x:c>
    </x:row>
    <x:row r="101" ht="26" customHeight="1">
      <x:c r="A101" s="2" t="str">
        <x:v>O100</x:v>
      </x:c>
      <x:c r="B101" s="7" t="d">
        <x:v>2026-08-16T00:00:00.000Z</x:v>
      </x:c>
      <x:c r="C101" s="2" t="str">
        <x:v>Рюкзак</x:v>
      </x:c>
      <x:c r="D101" s="2" t="str">
        <x:v>Маркетплейс</x:v>
      </x:c>
      <x:c r="E101" s="29" t="n">
        <x:v>3</x:v>
      </x:c>
      <x:c r="F101" s="8" t="n">
        <x:v>3600</x:v>
      </x:c>
      <x:c r="G101" s="8" t="n">
        <x:v>1296</x:v>
      </x:c>
      <x:c r="H101" s="8" t="n">
        <x:v>1900</x:v>
      </x:c>
      <x:c r="I101" s="2" t="str">
        <x:v>оплачен</x:v>
      </x:c>
      <x:c r="J101" s="8" t="n">
        <x:f>IF(I101="оплачен",E101*F101-G101,0)</x:f>
        <x:v>9504</x:v>
      </x:c>
      <x:c r="K101" s="8" t="n">
        <x:f>IF(I101="оплачен",E101*H101,0)</x:f>
        <x:v>5700</x:v>
      </x:c>
      <x:c r="L101" s="8" t="n">
        <x:f>J101-K101</x:f>
        <x:v>3804</x:v>
      </x:c>
      <x:c r="M101" s="2" t="str">
        <x:f>TEXT(B101,"yyyy-mm")</x:f>
        <x:v>2026-08</x:v>
      </x:c>
    </x:row>
    <x:row r="102" ht="26" customHeight="1">
      <x:c r="A102" s="2" t="str">
        <x:v>O101</x:v>
      </x:c>
      <x:c r="B102" s="7" t="d">
        <x:v>2026-08-17T00:00:00.000Z</x:v>
      </x:c>
      <x:c r="C102" s="2" t="str">
        <x:v>Планер</x:v>
      </x:c>
      <x:c r="D102" s="2" t="str">
        <x:v>Сайт</x:v>
      </x:c>
      <x:c r="E102" s="29" t="n">
        <x:v>1</x:v>
      </x:c>
      <x:c r="F102" s="8" t="n">
        <x:v>800</x:v>
      </x:c>
      <x:c r="G102" s="8" t="n">
        <x:v>24</x:v>
      </x:c>
      <x:c r="H102" s="8" t="n">
        <x:v>280</x:v>
      </x:c>
      <x:c r="I102" s="2" t="str">
        <x:v>оплачен</x:v>
      </x:c>
      <x:c r="J102" s="8" t="n">
        <x:f>IF(I102="оплачен",E102*F102-G102,0)</x:f>
        <x:v>776</x:v>
      </x:c>
      <x:c r="K102" s="8" t="n">
        <x:f>IF(I102="оплачен",E102*H102,0)</x:f>
        <x:v>280</x:v>
      </x:c>
      <x:c r="L102" s="8" t="n">
        <x:f>J102-K102</x:f>
        <x:v>496</x:v>
      </x:c>
      <x:c r="M102" s="2" t="str">
        <x:f>TEXT(B102,"yyyy-mm")</x:f>
        <x:v>2026-08</x:v>
      </x:c>
    </x:row>
    <x:row r="103" ht="26" customHeight="1">
      <x:c r="A103" s="2" t="str">
        <x:v>O102</x:v>
      </x:c>
      <x:c r="B103" s="7" t="d">
        <x:v>2026-08-18T00:00:00.000Z</x:v>
      </x:c>
      <x:c r="C103" s="2" t="str">
        <x:v>Настольная лампа</x:v>
      </x:c>
      <x:c r="D103" s="2" t="str">
        <x:v>Маркетплейс</x:v>
      </x:c>
      <x:c r="E103" s="29" t="n">
        <x:v>2</x:v>
      </x:c>
      <x:c r="F103" s="8" t="n">
        <x:v>2900</x:v>
      </x:c>
      <x:c r="G103" s="8" t="n">
        <x:v>696</x:v>
      </x:c>
      <x:c r="H103" s="8" t="n">
        <x:v>1700</x:v>
      </x:c>
      <x:c r="I103" s="2" t="str">
        <x:v>оплачен</x:v>
      </x:c>
      <x:c r="J103" s="8" t="n">
        <x:f>IF(I103="оплачен",E103*F103-G103,0)</x:f>
        <x:v>5104</x:v>
      </x:c>
      <x:c r="K103" s="8" t="n">
        <x:f>IF(I103="оплачен",E103*H103,0)</x:f>
        <x:v>3400</x:v>
      </x:c>
      <x:c r="L103" s="8" t="n">
        <x:f>J103-K103</x:f>
        <x:v>1704</x:v>
      </x:c>
      <x:c r="M103" s="2" t="str">
        <x:f>TEXT(B103,"yyyy-mm")</x:f>
        <x:v>2026-08</x:v>
      </x:c>
    </x:row>
    <x:row r="104" ht="26" customHeight="1">
      <x:c r="A104" s="2" t="str">
        <x:v>O103</x:v>
      </x:c>
      <x:c r="B104" s="7" t="d">
        <x:v>2026-08-19T00:00:00.000Z</x:v>
      </x:c>
      <x:c r="C104" s="2" t="str">
        <x:v>Планер</x:v>
      </x:c>
      <x:c r="D104" s="2" t="str">
        <x:v>Маркетплейс</x:v>
      </x:c>
      <x:c r="E104" s="29" t="n">
        <x:v>4</x:v>
      </x:c>
      <x:c r="F104" s="8" t="n">
        <x:v>800</x:v>
      </x:c>
      <x:c r="G104" s="8" t="n">
        <x:v>384</x:v>
      </x:c>
      <x:c r="H104" s="8" t="n">
        <x:v>280</x:v>
      </x:c>
      <x:c r="I104" s="2" t="str">
        <x:v>возвращён</x:v>
      </x:c>
      <x:c r="J104" s="8" t="n">
        <x:f>IF(I104="оплачен",E104*F104-G104,0)</x:f>
        <x:v>0</x:v>
      </x:c>
      <x:c r="K104" s="8" t="n">
        <x:f>IF(I104="оплачен",E104*H104,0)</x:f>
        <x:v>0</x:v>
      </x:c>
      <x:c r="L104" s="8" t="n">
        <x:f>J104-K104</x:f>
        <x:v>0</x:v>
      </x:c>
      <x:c r="M104" s="2" t="str">
        <x:f>TEXT(B104,"yyyy-mm")</x:f>
        <x:v>2026-08</x:v>
      </x:c>
    </x:row>
    <x:row r="105" ht="26" customHeight="1">
      <x:c r="A105" s="2" t="str">
        <x:v>O104</x:v>
      </x:c>
      <x:c r="B105" s="7" t="d">
        <x:v>2026-08-20T00:00:00.000Z</x:v>
      </x:c>
      <x:c r="C105" s="2" t="str">
        <x:v>Настольная лампа</x:v>
      </x:c>
      <x:c r="D105" s="2" t="str">
        <x:v>Маркетплейс</x:v>
      </x:c>
      <x:c r="E105" s="29" t="n">
        <x:v>2</x:v>
      </x:c>
      <x:c r="F105" s="8" t="n">
        <x:v>2900</x:v>
      </x:c>
      <x:c r="G105" s="8" t="n">
        <x:v>696</x:v>
      </x:c>
      <x:c r="H105" s="8" t="n">
        <x:v>1700</x:v>
      </x:c>
      <x:c r="I105" s="2" t="str">
        <x:v>оплачен</x:v>
      </x:c>
      <x:c r="J105" s="8" t="n">
        <x:f>IF(I105="оплачен",E105*F105-G105,0)</x:f>
        <x:v>5104</x:v>
      </x:c>
      <x:c r="K105" s="8" t="n">
        <x:f>IF(I105="оплачен",E105*H105,0)</x:f>
        <x:v>3400</x:v>
      </x:c>
      <x:c r="L105" s="8" t="n">
        <x:f>J105-K105</x:f>
        <x:v>1704</x:v>
      </x:c>
      <x:c r="M105" s="2" t="str">
        <x:f>TEXT(B105,"yyyy-mm")</x:f>
        <x:v>2026-08</x:v>
      </x:c>
    </x:row>
    <x:row r="106" ht="26" customHeight="1">
      <x:c r="A106" s="2" t="str">
        <x:v>O105</x:v>
      </x:c>
      <x:c r="B106" s="7" t="d">
        <x:v>2026-08-21T00:00:00.000Z</x:v>
      </x:c>
      <x:c r="C106" s="2" t="str">
        <x:v>Настольная лампа</x:v>
      </x:c>
      <x:c r="D106" s="2" t="str">
        <x:v>Соцсети</x:v>
      </x:c>
      <x:c r="E106" s="29" t="n">
        <x:v>4</x:v>
      </x:c>
      <x:c r="F106" s="8" t="n">
        <x:v>2900</x:v>
      </x:c>
      <x:c r="G106" s="8" t="n">
        <x:v>348</x:v>
      </x:c>
      <x:c r="H106" s="8" t="n">
        <x:v>1700</x:v>
      </x:c>
      <x:c r="I106" s="2" t="str">
        <x:v>отменён</x:v>
      </x:c>
      <x:c r="J106" s="8" t="n">
        <x:f>IF(I106="оплачен",E106*F106-G106,0)</x:f>
        <x:v>0</x:v>
      </x:c>
      <x:c r="K106" s="8" t="n">
        <x:f>IF(I106="оплачен",E106*H106,0)</x:f>
        <x:v>0</x:v>
      </x:c>
      <x:c r="L106" s="8" t="n">
        <x:f>J106-K106</x:f>
        <x:v>0</x:v>
      </x:c>
      <x:c r="M106" s="2" t="str">
        <x:f>TEXT(B106,"yyyy-mm")</x:f>
        <x:v>2026-08</x:v>
      </x:c>
    </x:row>
    <x:row r="107" ht="26" customHeight="1">
      <x:c r="A107" s="2" t="str">
        <x:v>O106</x:v>
      </x:c>
      <x:c r="B107" s="7" t="d">
        <x:v>2026-08-22T00:00:00.000Z</x:v>
      </x:c>
      <x:c r="C107" s="2" t="str">
        <x:v>Планер</x:v>
      </x:c>
      <x:c r="D107" s="2" t="str">
        <x:v>Соцсети</x:v>
      </x:c>
      <x:c r="E107" s="29" t="n">
        <x:v>1</x:v>
      </x:c>
      <x:c r="F107" s="8" t="n">
        <x:v>800</x:v>
      </x:c>
      <x:c r="G107" s="8" t="n">
        <x:v>24</x:v>
      </x:c>
      <x:c r="H107" s="8" t="n">
        <x:v>280</x:v>
      </x:c>
      <x:c r="I107" s="2" t="str">
        <x:v>оплачен</x:v>
      </x:c>
      <x:c r="J107" s="8" t="n">
        <x:f>IF(I107="оплачен",E107*F107-G107,0)</x:f>
        <x:v>776</x:v>
      </x:c>
      <x:c r="K107" s="8" t="n">
        <x:f>IF(I107="оплачен",E107*H107,0)</x:f>
        <x:v>280</x:v>
      </x:c>
      <x:c r="L107" s="8" t="n">
        <x:f>J107-K107</x:f>
        <x:v>496</x:v>
      </x:c>
      <x:c r="M107" s="2" t="str">
        <x:f>TEXT(B107,"yyyy-mm")</x:f>
        <x:v>2026-08</x:v>
      </x:c>
    </x:row>
    <x:row r="108" ht="26" customHeight="1">
      <x:c r="A108" s="2" t="str">
        <x:v>O107</x:v>
      </x:c>
      <x:c r="B108" s="7" t="d">
        <x:v>2026-08-23T00:00:00.000Z</x:v>
      </x:c>
      <x:c r="C108" s="2" t="str">
        <x:v>Планер</x:v>
      </x:c>
      <x:c r="D108" s="2" t="str">
        <x:v>Маркетплейс</x:v>
      </x:c>
      <x:c r="E108" s="29" t="n">
        <x:v>3</x:v>
      </x:c>
      <x:c r="F108" s="8" t="n">
        <x:v>800</x:v>
      </x:c>
      <x:c r="G108" s="8" t="n">
        <x:v>288</x:v>
      </x:c>
      <x:c r="H108" s="8" t="n">
        <x:v>280</x:v>
      </x:c>
      <x:c r="I108" s="2" t="str">
        <x:v>оплачен</x:v>
      </x:c>
      <x:c r="J108" s="8" t="n">
        <x:f>IF(I108="оплачен",E108*F108-G108,0)</x:f>
        <x:v>2112</x:v>
      </x:c>
      <x:c r="K108" s="8" t="n">
        <x:f>IF(I108="оплачен",E108*H108,0)</x:f>
        <x:v>840</x:v>
      </x:c>
      <x:c r="L108" s="8" t="n">
        <x:f>J108-K108</x:f>
        <x:v>1272</x:v>
      </x:c>
      <x:c r="M108" s="2" t="str">
        <x:f>TEXT(B108,"yyyy-mm")</x:f>
        <x:v>2026-08</x:v>
      </x:c>
    </x:row>
    <x:row r="109" ht="26" customHeight="1">
      <x:c r="A109" s="2" t="str">
        <x:v>O108</x:v>
      </x:c>
      <x:c r="B109" s="7" t="d">
        <x:v>2026-08-24T00:00:00.000Z</x:v>
      </x:c>
      <x:c r="C109" s="2" t="str">
        <x:v>Рюкзак</x:v>
      </x:c>
      <x:c r="D109" s="2" t="str">
        <x:v>Маркетплейс</x:v>
      </x:c>
      <x:c r="E109" s="29" t="n">
        <x:v>2</x:v>
      </x:c>
      <x:c r="F109" s="8" t="n">
        <x:v>3600</x:v>
      </x:c>
      <x:c r="G109" s="8" t="n">
        <x:v>864</x:v>
      </x:c>
      <x:c r="H109" s="8" t="n">
        <x:v>1900</x:v>
      </x:c>
      <x:c r="I109" s="2" t="str">
        <x:v>оплачен</x:v>
      </x:c>
      <x:c r="J109" s="8" t="n">
        <x:f>IF(I109="оплачен",E109*F109-G109,0)</x:f>
        <x:v>6336</x:v>
      </x:c>
      <x:c r="K109" s="8" t="n">
        <x:f>IF(I109="оплачен",E109*H109,0)</x:f>
        <x:v>3800</x:v>
      </x:c>
      <x:c r="L109" s="8" t="n">
        <x:f>J109-K109</x:f>
        <x:v>2536</x:v>
      </x:c>
      <x:c r="M109" s="2" t="str">
        <x:f>TEXT(B109,"yyyy-mm")</x:f>
        <x:v>2026-08</x:v>
      </x:c>
    </x:row>
    <x:row r="110" ht="26" customHeight="1">
      <x:c r="A110" s="2" t="str">
        <x:v>O109</x:v>
      </x:c>
      <x:c r="B110" s="7" t="d">
        <x:v>2026-08-25T00:00:00.000Z</x:v>
      </x:c>
      <x:c r="C110" s="2" t="str">
        <x:v>Планер</x:v>
      </x:c>
      <x:c r="D110" s="2" t="str">
        <x:v>Маркетплейс</x:v>
      </x:c>
      <x:c r="E110" s="29" t="n">
        <x:v>1</x:v>
      </x:c>
      <x:c r="F110" s="8" t="n">
        <x:v>800</x:v>
      </x:c>
      <x:c r="G110" s="8" t="n">
        <x:v>96</x:v>
      </x:c>
      <x:c r="H110" s="8" t="n">
        <x:v>280</x:v>
      </x:c>
      <x:c r="I110" s="2" t="str">
        <x:v>оплачен</x:v>
      </x:c>
      <x:c r="J110" s="8" t="n">
        <x:f>IF(I110="оплачен",E110*F110-G110,0)</x:f>
        <x:v>704</x:v>
      </x:c>
      <x:c r="K110" s="8" t="n">
        <x:f>IF(I110="оплачен",E110*H110,0)</x:f>
        <x:v>280</x:v>
      </x:c>
      <x:c r="L110" s="8" t="n">
        <x:f>J110-K110</x:f>
        <x:v>424</x:v>
      </x:c>
      <x:c r="M110" s="2" t="str">
        <x:f>TEXT(B110,"yyyy-mm")</x:f>
        <x:v>2026-08</x:v>
      </x:c>
    </x:row>
    <x:row r="111" ht="26" customHeight="1">
      <x:c r="A111" s="2" t="str">
        <x:v>O110</x:v>
      </x:c>
      <x:c r="B111" s="7" t="d">
        <x:v>2026-08-26T00:00:00.000Z</x:v>
      </x:c>
      <x:c r="C111" s="2" t="str">
        <x:v>Планер</x:v>
      </x:c>
      <x:c r="D111" s="2" t="str">
        <x:v>Маркетплейс</x:v>
      </x:c>
      <x:c r="E111" s="29" t="n">
        <x:v>1</x:v>
      </x:c>
      <x:c r="F111" s="8" t="n">
        <x:v>800</x:v>
      </x:c>
      <x:c r="G111" s="8" t="n">
        <x:v>96</x:v>
      </x:c>
      <x:c r="H111" s="8" t="n">
        <x:v>280</x:v>
      </x:c>
      <x:c r="I111" s="2" t="str">
        <x:v>оплачен</x:v>
      </x:c>
      <x:c r="J111" s="8" t="n">
        <x:f>IF(I111="оплачен",E111*F111-G111,0)</x:f>
        <x:v>704</x:v>
      </x:c>
      <x:c r="K111" s="8" t="n">
        <x:f>IF(I111="оплачен",E111*H111,0)</x:f>
        <x:v>280</x:v>
      </x:c>
      <x:c r="L111" s="8" t="n">
        <x:f>J111-K111</x:f>
        <x:v>424</x:v>
      </x:c>
      <x:c r="M111" s="2" t="str">
        <x:f>TEXT(B111,"yyyy-mm")</x:f>
        <x:v>2026-08</x:v>
      </x:c>
    </x:row>
    <x:row r="112" ht="26" customHeight="1">
      <x:c r="A112" s="2" t="str">
        <x:v>O111</x:v>
      </x:c>
      <x:c r="B112" s="7" t="d">
        <x:v>2026-08-27T00:00:00.000Z</x:v>
      </x:c>
      <x:c r="C112" s="2" t="str">
        <x:v>Термокружка</x:v>
      </x:c>
      <x:c r="D112" s="2" t="str">
        <x:v>Маркетплейс</x:v>
      </x:c>
      <x:c r="E112" s="29" t="n">
        <x:v>4</x:v>
      </x:c>
      <x:c r="F112" s="8" t="n">
        <x:v>1600</x:v>
      </x:c>
      <x:c r="G112" s="8" t="n">
        <x:v>768</x:v>
      </x:c>
      <x:c r="H112" s="8" t="n">
        <x:v>650</x:v>
      </x:c>
      <x:c r="I112" s="2" t="str">
        <x:v>оплачен</x:v>
      </x:c>
      <x:c r="J112" s="8" t="n">
        <x:f>IF(I112="оплачен",E112*F112-G112,0)</x:f>
        <x:v>5632</x:v>
      </x:c>
      <x:c r="K112" s="8" t="n">
        <x:f>IF(I112="оплачен",E112*H112,0)</x:f>
        <x:v>2600</x:v>
      </x:c>
      <x:c r="L112" s="8" t="n">
        <x:f>J112-K112</x:f>
        <x:v>3032</x:v>
      </x:c>
      <x:c r="M112" s="2" t="str">
        <x:f>TEXT(B112,"yyyy-mm")</x:f>
        <x:v>2026-08</x:v>
      </x:c>
    </x:row>
    <x:row r="113" ht="26" customHeight="1">
      <x:c r="A113" s="2" t="str">
        <x:v>O112</x:v>
      </x:c>
      <x:c r="B113" s="7" t="d">
        <x:v>2026-08-28T00:00:00.000Z</x:v>
      </x:c>
      <x:c r="C113" s="2" t="str">
        <x:v>Термокружка</x:v>
      </x:c>
      <x:c r="D113" s="2" t="str">
        <x:v>Сайт</x:v>
      </x:c>
      <x:c r="E113" s="29" t="n">
        <x:v>1</x:v>
      </x:c>
      <x:c r="F113" s="8" t="n">
        <x:v>1600</x:v>
      </x:c>
      <x:c r="G113" s="8" t="n">
        <x:v>48</x:v>
      </x:c>
      <x:c r="H113" s="8" t="n">
        <x:v>650</x:v>
      </x:c>
      <x:c r="I113" s="2" t="str">
        <x:v>оплачен</x:v>
      </x:c>
      <x:c r="J113" s="8" t="n">
        <x:f>IF(I113="оплачен",E113*F113-G113,0)</x:f>
        <x:v>1552</x:v>
      </x:c>
      <x:c r="K113" s="8" t="n">
        <x:f>IF(I113="оплачен",E113*H113,0)</x:f>
        <x:v>650</x:v>
      </x:c>
      <x:c r="L113" s="8" t="n">
        <x:f>J113-K113</x:f>
        <x:v>902</x:v>
      </x:c>
      <x:c r="M113" s="2" t="str">
        <x:f>TEXT(B113,"yyyy-mm")</x:f>
        <x:v>2026-08</x:v>
      </x:c>
    </x:row>
    <x:row r="114" ht="26" customHeight="1">
      <x:c r="A114" s="2" t="str">
        <x:v>O113</x:v>
      </x:c>
      <x:c r="B114" s="7" t="d">
        <x:v>2026-08-01T00:00:00.000Z</x:v>
      </x:c>
      <x:c r="C114" s="2" t="str">
        <x:v>Планер</x:v>
      </x:c>
      <x:c r="D114" s="2" t="str">
        <x:v>Маркетплейс</x:v>
      </x:c>
      <x:c r="E114" s="29" t="n">
        <x:v>1</x:v>
      </x:c>
      <x:c r="F114" s="8" t="n">
        <x:v>800</x:v>
      </x:c>
      <x:c r="G114" s="8" t="n">
        <x:v>96</x:v>
      </x:c>
      <x:c r="H114" s="8" t="n">
        <x:v>280</x:v>
      </x:c>
      <x:c r="I114" s="2" t="str">
        <x:v>оплачен</x:v>
      </x:c>
      <x:c r="J114" s="8" t="n">
        <x:f>IF(I114="оплачен",E114*F114-G114,0)</x:f>
        <x:v>704</x:v>
      </x:c>
      <x:c r="K114" s="8" t="n">
        <x:f>IF(I114="оплачен",E114*H114,0)</x:f>
        <x:v>280</x:v>
      </x:c>
      <x:c r="L114" s="8" t="n">
        <x:f>J114-K114</x:f>
        <x:v>424</x:v>
      </x:c>
      <x:c r="M114" s="2" t="str">
        <x:f>TEXT(B114,"yyyy-mm")</x:f>
        <x:v>2026-08</x:v>
      </x:c>
    </x:row>
    <x:row r="115" ht="26" customHeight="1">
      <x:c r="A115" s="2" t="str">
        <x:v>O114</x:v>
      </x:c>
      <x:c r="B115" s="7" t="d">
        <x:v>2026-08-02T00:00:00.000Z</x:v>
      </x:c>
      <x:c r="C115" s="2" t="str">
        <x:v>Термокружка</x:v>
      </x:c>
      <x:c r="D115" s="2" t="str">
        <x:v>Маркетплейс</x:v>
      </x:c>
      <x:c r="E115" s="29" t="n">
        <x:v>4</x:v>
      </x:c>
      <x:c r="F115" s="8" t="n">
        <x:v>1600</x:v>
      </x:c>
      <x:c r="G115" s="8" t="n">
        <x:v>768</x:v>
      </x:c>
      <x:c r="H115" s="8" t="n">
        <x:v>650</x:v>
      </x:c>
      <x:c r="I115" s="2" t="str">
        <x:v>оплачен</x:v>
      </x:c>
      <x:c r="J115" s="8" t="n">
        <x:f>IF(I115="оплачен",E115*F115-G115,0)</x:f>
        <x:v>5632</x:v>
      </x:c>
      <x:c r="K115" s="8" t="n">
        <x:f>IF(I115="оплачен",E115*H115,0)</x:f>
        <x:v>2600</x:v>
      </x:c>
      <x:c r="L115" s="8" t="n">
        <x:f>J115-K115</x:f>
        <x:v>3032</x:v>
      </x:c>
      <x:c r="M115" s="2" t="str">
        <x:f>TEXT(B115,"yyyy-mm")</x:f>
        <x:v>2026-08</x:v>
      </x:c>
    </x:row>
    <x:row r="116" ht="26" customHeight="1">
      <x:c r="A116" s="2" t="str">
        <x:v>O115</x:v>
      </x:c>
      <x:c r="B116" s="7" t="d">
        <x:v>2026-08-03T00:00:00.000Z</x:v>
      </x:c>
      <x:c r="C116" s="2" t="str">
        <x:v>Настольная лампа</x:v>
      </x:c>
      <x:c r="D116" s="2" t="str">
        <x:v>Сайт</x:v>
      </x:c>
      <x:c r="E116" s="29" t="n">
        <x:v>1</x:v>
      </x:c>
      <x:c r="F116" s="8" t="n">
        <x:v>2900</x:v>
      </x:c>
      <x:c r="G116" s="8" t="n">
        <x:v>87</x:v>
      </x:c>
      <x:c r="H116" s="8" t="n">
        <x:v>1700</x:v>
      </x:c>
      <x:c r="I116" s="2" t="str">
        <x:v>оплачен</x:v>
      </x:c>
      <x:c r="J116" s="8" t="n">
        <x:f>IF(I116="оплачен",E116*F116-G116,0)</x:f>
        <x:v>2813</x:v>
      </x:c>
      <x:c r="K116" s="8" t="n">
        <x:f>IF(I116="оплачен",E116*H116,0)</x:f>
        <x:v>1700</x:v>
      </x:c>
      <x:c r="L116" s="8" t="n">
        <x:f>J116-K116</x:f>
        <x:v>1113</x:v>
      </x:c>
      <x:c r="M116" s="2" t="str">
        <x:f>TEXT(B116,"yyyy-mm")</x:f>
        <x:v>2026-08</x:v>
      </x:c>
    </x:row>
    <x:row r="117" ht="26" customHeight="1">
      <x:c r="A117" s="2" t="str">
        <x:v>O116</x:v>
      </x:c>
      <x:c r="B117" s="7" t="d">
        <x:v>2026-08-04T00:00:00.000Z</x:v>
      </x:c>
      <x:c r="C117" s="2" t="str">
        <x:v>Термокружка</x:v>
      </x:c>
      <x:c r="D117" s="2" t="str">
        <x:v>Соцсети</x:v>
      </x:c>
      <x:c r="E117" s="29" t="n">
        <x:v>1</x:v>
      </x:c>
      <x:c r="F117" s="8" t="n">
        <x:v>1600</x:v>
      </x:c>
      <x:c r="G117" s="8" t="n">
        <x:v>48</x:v>
      </x:c>
      <x:c r="H117" s="8" t="n">
        <x:v>650</x:v>
      </x:c>
      <x:c r="I117" s="2" t="str">
        <x:v>оплачен</x:v>
      </x:c>
      <x:c r="J117" s="8" t="n">
        <x:f>IF(I117="оплачен",E117*F117-G117,0)</x:f>
        <x:v>1552</x:v>
      </x:c>
      <x:c r="K117" s="8" t="n">
        <x:f>IF(I117="оплачен",E117*H117,0)</x:f>
        <x:v>650</x:v>
      </x:c>
      <x:c r="L117" s="8" t="n">
        <x:f>J117-K117</x:f>
        <x:v>902</x:v>
      </x:c>
      <x:c r="M117" s="2" t="str">
        <x:f>TEXT(B117,"yyyy-mm")</x:f>
        <x:v>2026-08</x:v>
      </x:c>
    </x:row>
    <x:row r="118" ht="26" customHeight="1">
      <x:c r="A118" s="2" t="str">
        <x:v>O117</x:v>
      </x:c>
      <x:c r="B118" s="7" t="d">
        <x:v>2026-08-05T00:00:00.000Z</x:v>
      </x:c>
      <x:c r="C118" s="2" t="str">
        <x:v>Рюкзак</x:v>
      </x:c>
      <x:c r="D118" s="2" t="str">
        <x:v>Маркетплейс</x:v>
      </x:c>
      <x:c r="E118" s="29" t="n">
        <x:v>3</x:v>
      </x:c>
      <x:c r="F118" s="8" t="n">
        <x:v>3600</x:v>
      </x:c>
      <x:c r="G118" s="8" t="n">
        <x:v>1296</x:v>
      </x:c>
      <x:c r="H118" s="8" t="n">
        <x:v>1900</x:v>
      </x:c>
      <x:c r="I118" s="2" t="str">
        <x:v>оплачен</x:v>
      </x:c>
      <x:c r="J118" s="8" t="n">
        <x:f>IF(I118="оплачен",E118*F118-G118,0)</x:f>
        <x:v>9504</x:v>
      </x:c>
      <x:c r="K118" s="8" t="n">
        <x:f>IF(I118="оплачен",E118*H118,0)</x:f>
        <x:v>5700</x:v>
      </x:c>
      <x:c r="L118" s="8" t="n">
        <x:f>J118-K118</x:f>
        <x:v>3804</x:v>
      </x:c>
      <x:c r="M118" s="2" t="str">
        <x:f>TEXT(B118,"yyyy-mm")</x:f>
        <x:v>2026-08</x:v>
      </x:c>
    </x:row>
    <x:row r="119" ht="26" customHeight="1">
      <x:c r="A119" s="2" t="str">
        <x:v>O118</x:v>
      </x:c>
      <x:c r="B119" s="7" t="d">
        <x:v>2026-08-06T00:00:00.000Z</x:v>
      </x:c>
      <x:c r="C119" s="2" t="str">
        <x:v>Планер</x:v>
      </x:c>
      <x:c r="D119" s="2" t="str">
        <x:v>Маркетплейс</x:v>
      </x:c>
      <x:c r="E119" s="29" t="n">
        <x:v>1</x:v>
      </x:c>
      <x:c r="F119" s="8" t="n">
        <x:v>800</x:v>
      </x:c>
      <x:c r="G119" s="8" t="n">
        <x:v>96</x:v>
      </x:c>
      <x:c r="H119" s="8" t="n">
        <x:v>280</x:v>
      </x:c>
      <x:c r="I119" s="2" t="str">
        <x:v>отменён</x:v>
      </x:c>
      <x:c r="J119" s="8" t="n">
        <x:f>IF(I119="оплачен",E119*F119-G119,0)</x:f>
        <x:v>0</x:v>
      </x:c>
      <x:c r="K119" s="8" t="n">
        <x:f>IF(I119="оплачен",E119*H119,0)</x:f>
        <x:v>0</x:v>
      </x:c>
      <x:c r="L119" s="8" t="n">
        <x:f>J119-K119</x:f>
        <x:v>0</x:v>
      </x:c>
      <x:c r="M119" s="2" t="str">
        <x:f>TEXT(B119,"yyyy-mm")</x:f>
        <x:v>2026-08</x:v>
      </x:c>
    </x:row>
    <x:row r="120" ht="26" customHeight="1">
      <x:c r="A120" s="2" t="str">
        <x:v>O119</x:v>
      </x:c>
      <x:c r="B120" s="7" t="d">
        <x:v>2026-08-07T00:00:00.000Z</x:v>
      </x:c>
      <x:c r="C120" s="2" t="str">
        <x:v>Планер</x:v>
      </x:c>
      <x:c r="D120" s="2" t="str">
        <x:v>Соцсети</x:v>
      </x:c>
      <x:c r="E120" s="29" t="n">
        <x:v>2</x:v>
      </x:c>
      <x:c r="F120" s="8" t="n">
        <x:v>800</x:v>
      </x:c>
      <x:c r="G120" s="8" t="n">
        <x:v>48</x:v>
      </x:c>
      <x:c r="H120" s="8" t="n">
        <x:v>280</x:v>
      </x:c>
      <x:c r="I120" s="2" t="str">
        <x:v>оплачен</x:v>
      </x:c>
      <x:c r="J120" s="8" t="n">
        <x:f>IF(I120="оплачен",E120*F120-G120,0)</x:f>
        <x:v>1552</x:v>
      </x:c>
      <x:c r="K120" s="8" t="n">
        <x:f>IF(I120="оплачен",E120*H120,0)</x:f>
        <x:v>560</x:v>
      </x:c>
      <x:c r="L120" s="8" t="n">
        <x:f>J120-K120</x:f>
        <x:v>992</x:v>
      </x:c>
      <x:c r="M120" s="2" t="str">
        <x:f>TEXT(B120,"yyyy-mm")</x:f>
        <x:v>2026-08</x:v>
      </x:c>
    </x:row>
    <x:row r="121" ht="26" customHeight="1">
      <x:c r="A121" s="2" t="str">
        <x:v>O120</x:v>
      </x:c>
      <x:c r="B121" s="7" t="d">
        <x:v>2026-08-08T00:00:00.000Z</x:v>
      </x:c>
      <x:c r="C121" s="2" t="str">
        <x:v>Настольная лампа</x:v>
      </x:c>
      <x:c r="D121" s="2" t="str">
        <x:v>Сайт</x:v>
      </x:c>
      <x:c r="E121" s="29" t="n">
        <x:v>1</x:v>
      </x:c>
      <x:c r="F121" s="8" t="n">
        <x:v>2900</x:v>
      </x:c>
      <x:c r="G121" s="8" t="n">
        <x:v>87</x:v>
      </x:c>
      <x:c r="H121" s="8" t="n">
        <x:v>1700</x:v>
      </x:c>
      <x:c r="I121" s="2" t="str">
        <x:v>возвращён</x:v>
      </x:c>
      <x:c r="J121" s="8" t="n">
        <x:f>IF(I121="оплачен",E121*F121-G121,0)</x:f>
        <x:v>0</x:v>
      </x:c>
      <x:c r="K121" s="8" t="n">
        <x:f>IF(I121="оплачен",E121*H121,0)</x:f>
        <x:v>0</x:v>
      </x:c>
      <x:c r="L121" s="8" t="n">
        <x:f>J121-K121</x:f>
        <x:v>0</x:v>
      </x:c>
      <x:c r="M121" s="2" t="str">
        <x:f>TEXT(B121,"yyyy-mm")</x:f>
        <x:v>2026-08</x:v>
      </x:c>
    </x:row>
    <x:row r="122" ht="26" customHeight="1">
      <x:c r="A122" s="2" t="str">
        <x:v>O121</x:v>
      </x:c>
      <x:c r="B122" s="7" t="d">
        <x:v>2026-08-09T00:00:00.000Z</x:v>
      </x:c>
      <x:c r="C122" s="2" t="str">
        <x:v>Настольная лампа</x:v>
      </x:c>
      <x:c r="D122" s="2" t="str">
        <x:v>Соцсети</x:v>
      </x:c>
      <x:c r="E122" s="29" t="n">
        <x:v>4</x:v>
      </x:c>
      <x:c r="F122" s="8" t="n">
        <x:v>2900</x:v>
      </x:c>
      <x:c r="G122" s="8" t="n">
        <x:v>348</x:v>
      </x:c>
      <x:c r="H122" s="8" t="n">
        <x:v>1700</x:v>
      </x:c>
      <x:c r="I122" s="2" t="str">
        <x:v>оплачен</x:v>
      </x:c>
      <x:c r="J122" s="8" t="n">
        <x:f>IF(I122="оплачен",E122*F122-G122,0)</x:f>
        <x:v>11252</x:v>
      </x:c>
      <x:c r="K122" s="8" t="n">
        <x:f>IF(I122="оплачен",E122*H122,0)</x:f>
        <x:v>6800</x:v>
      </x:c>
      <x:c r="L122" s="8" t="n">
        <x:f>J122-K122</x:f>
        <x:v>4452</x:v>
      </x:c>
      <x:c r="M122" s="2" t="str">
        <x:f>TEXT(B122,"yyyy-mm")</x:f>
        <x:v>2026-08</x:v>
      </x:c>
    </x:row>
    <x:row r="123" ht="26" customHeight="1">
      <x:c r="A123" s="2" t="str">
        <x:v>O122</x:v>
      </x:c>
      <x:c r="B123" s="7" t="d">
        <x:v>2026-08-10T00:00:00.000Z</x:v>
      </x:c>
      <x:c r="C123" s="2" t="str">
        <x:v>Термокружка</x:v>
      </x:c>
      <x:c r="D123" s="2" t="str">
        <x:v>Сайт</x:v>
      </x:c>
      <x:c r="E123" s="29" t="n">
        <x:v>4</x:v>
      </x:c>
      <x:c r="F123" s="8" t="n">
        <x:v>1600</x:v>
      </x:c>
      <x:c r="G123" s="8" t="n">
        <x:v>192</x:v>
      </x:c>
      <x:c r="H123" s="8" t="n">
        <x:v>650</x:v>
      </x:c>
      <x:c r="I123" s="2" t="str">
        <x:v>оплачен</x:v>
      </x:c>
      <x:c r="J123" s="8" t="n">
        <x:f>IF(I123="оплачен",E123*F123-G123,0)</x:f>
        <x:v>6208</x:v>
      </x:c>
      <x:c r="K123" s="8" t="n">
        <x:f>IF(I123="оплачен",E123*H123,0)</x:f>
        <x:v>2600</x:v>
      </x:c>
      <x:c r="L123" s="8" t="n">
        <x:f>J123-K123</x:f>
        <x:v>3608</x:v>
      </x:c>
      <x:c r="M123" s="2" t="str">
        <x:f>TEXT(B123,"yyyy-mm")</x:f>
        <x:v>2026-08</x:v>
      </x:c>
    </x:row>
    <x:row r="124" ht="26" customHeight="1">
      <x:c r="A124" s="2" t="str">
        <x:v>O123</x:v>
      </x:c>
      <x:c r="B124" s="7" t="d">
        <x:v>2026-08-11T00:00:00.000Z</x:v>
      </x:c>
      <x:c r="C124" s="2" t="str">
        <x:v>Планер</x:v>
      </x:c>
      <x:c r="D124" s="2" t="str">
        <x:v>Маркетплейс</x:v>
      </x:c>
      <x:c r="E124" s="29" t="n">
        <x:v>1</x:v>
      </x:c>
      <x:c r="F124" s="8" t="n">
        <x:v>800</x:v>
      </x:c>
      <x:c r="G124" s="8" t="n">
        <x:v>96</x:v>
      </x:c>
      <x:c r="H124" s="8" t="n">
        <x:v>280</x:v>
      </x:c>
      <x:c r="I124" s="2" t="str">
        <x:v>оплачен</x:v>
      </x:c>
      <x:c r="J124" s="8" t="n">
        <x:f>IF(I124="оплачен",E124*F124-G124,0)</x:f>
        <x:v>704</x:v>
      </x:c>
      <x:c r="K124" s="8" t="n">
        <x:f>IF(I124="оплачен",E124*H124,0)</x:f>
        <x:v>280</x:v>
      </x:c>
      <x:c r="L124" s="8" t="n">
        <x:f>J124-K124</x:f>
        <x:v>424</x:v>
      </x:c>
      <x:c r="M124" s="2" t="str">
        <x:f>TEXT(B124,"yyyy-mm")</x:f>
        <x:v>2026-08</x:v>
      </x:c>
    </x:row>
    <x:row r="125" ht="26" customHeight="1">
      <x:c r="A125" s="2" t="str">
        <x:v>O124</x:v>
      </x:c>
      <x:c r="B125" s="7" t="d">
        <x:v>2026-08-12T00:00:00.000Z</x:v>
      </x:c>
      <x:c r="C125" s="2" t="str">
        <x:v>Настольная лампа</x:v>
      </x:c>
      <x:c r="D125" s="2" t="str">
        <x:v>Маркетплейс</x:v>
      </x:c>
      <x:c r="E125" s="29" t="n">
        <x:v>1</x:v>
      </x:c>
      <x:c r="F125" s="8" t="n">
        <x:v>2900</x:v>
      </x:c>
      <x:c r="G125" s="8" t="n">
        <x:v>348</x:v>
      </x:c>
      <x:c r="H125" s="8" t="n">
        <x:v>1700</x:v>
      </x:c>
      <x:c r="I125" s="2" t="str">
        <x:v>оплачен</x:v>
      </x:c>
      <x:c r="J125" s="8" t="n">
        <x:f>IF(I125="оплачен",E125*F125-G125,0)</x:f>
        <x:v>2552</x:v>
      </x:c>
      <x:c r="K125" s="8" t="n">
        <x:f>IF(I125="оплачен",E125*H125,0)</x:f>
        <x:v>1700</x:v>
      </x:c>
      <x:c r="L125" s="8" t="n">
        <x:f>J125-K125</x:f>
        <x:v>852</x:v>
      </x:c>
      <x:c r="M125" s="2" t="str">
        <x:f>TEXT(B125,"yyyy-mm")</x:f>
        <x:v>2026-08</x:v>
      </x:c>
    </x:row>
    <x:row r="126" ht="26" customHeight="1">
      <x:c r="A126" s="2" t="str">
        <x:v>O125</x:v>
      </x:c>
      <x:c r="B126" s="7" t="d">
        <x:v>2026-08-13T00:00:00.000Z</x:v>
      </x:c>
      <x:c r="C126" s="2" t="str">
        <x:v>Планер</x:v>
      </x:c>
      <x:c r="D126" s="2" t="str">
        <x:v>Маркетплейс</x:v>
      </x:c>
      <x:c r="E126" s="29" t="n">
        <x:v>1</x:v>
      </x:c>
      <x:c r="F126" s="8" t="n">
        <x:v>800</x:v>
      </x:c>
      <x:c r="G126" s="8" t="n">
        <x:v>96</x:v>
      </x:c>
      <x:c r="H126" s="8" t="n">
        <x:v>280</x:v>
      </x:c>
      <x:c r="I126" s="2" t="str">
        <x:v>оплачен</x:v>
      </x:c>
      <x:c r="J126" s="8" t="n">
        <x:f>IF(I126="оплачен",E126*F126-G126,0)</x:f>
        <x:v>704</x:v>
      </x:c>
      <x:c r="K126" s="8" t="n">
        <x:f>IF(I126="оплачен",E126*H126,0)</x:f>
        <x:v>280</x:v>
      </x:c>
      <x:c r="L126" s="8" t="n">
        <x:f>J126-K126</x:f>
        <x:v>424</x:v>
      </x:c>
      <x:c r="M126" s="2" t="str">
        <x:f>TEXT(B126,"yyyy-mm")</x:f>
        <x:v>2026-08</x:v>
      </x:c>
    </x:row>
    <x:row r="127" ht="26" customHeight="1">
      <x:c r="A127" s="2" t="str">
        <x:v>O126</x:v>
      </x:c>
      <x:c r="B127" s="7" t="d">
        <x:v>2026-08-14T00:00:00.000Z</x:v>
      </x:c>
      <x:c r="C127" s="2" t="str">
        <x:v>Термокружка</x:v>
      </x:c>
      <x:c r="D127" s="2" t="str">
        <x:v>Сайт</x:v>
      </x:c>
      <x:c r="E127" s="29" t="n">
        <x:v>2</x:v>
      </x:c>
      <x:c r="F127" s="8" t="n">
        <x:v>1600</x:v>
      </x:c>
      <x:c r="G127" s="8" t="n">
        <x:v>96</x:v>
      </x:c>
      <x:c r="H127" s="8" t="n">
        <x:v>650</x:v>
      </x:c>
      <x:c r="I127" s="2" t="str">
        <x:v>оплачен</x:v>
      </x:c>
      <x:c r="J127" s="8" t="n">
        <x:f>IF(I127="оплачен",E127*F127-G127,0)</x:f>
        <x:v>3104</x:v>
      </x:c>
      <x:c r="K127" s="8" t="n">
        <x:f>IF(I127="оплачен",E127*H127,0)</x:f>
        <x:v>1300</x:v>
      </x:c>
      <x:c r="L127" s="8" t="n">
        <x:f>J127-K127</x:f>
        <x:v>1804</x:v>
      </x:c>
      <x:c r="M127" s="2" t="str">
        <x:f>TEXT(B127,"yyyy-mm")</x:f>
        <x:v>2026-08</x:v>
      </x:c>
    </x:row>
    <x:row r="128" ht="26" customHeight="1">
      <x:c r="A128" s="2" t="str">
        <x:v>O127</x:v>
      </x:c>
      <x:c r="B128" s="7" t="d">
        <x:v>2026-08-15T00:00:00.000Z</x:v>
      </x:c>
      <x:c r="C128" s="2" t="str">
        <x:v>Планер</x:v>
      </x:c>
      <x:c r="D128" s="2" t="str">
        <x:v>Соцсети</x:v>
      </x:c>
      <x:c r="E128" s="29" t="n">
        <x:v>1</x:v>
      </x:c>
      <x:c r="F128" s="8" t="n">
        <x:v>800</x:v>
      </x:c>
      <x:c r="G128" s="8" t="n">
        <x:v>24</x:v>
      </x:c>
      <x:c r="H128" s="8" t="n">
        <x:v>280</x:v>
      </x:c>
      <x:c r="I128" s="2" t="str">
        <x:v>оплачен</x:v>
      </x:c>
      <x:c r="J128" s="8" t="n">
        <x:f>IF(I128="оплачен",E128*F128-G128,0)</x:f>
        <x:v>776</x:v>
      </x:c>
      <x:c r="K128" s="8" t="n">
        <x:f>IF(I128="оплачен",E128*H128,0)</x:f>
        <x:v>280</x:v>
      </x:c>
      <x:c r="L128" s="8" t="n">
        <x:f>J128-K128</x:f>
        <x:v>496</x:v>
      </x:c>
      <x:c r="M128" s="2" t="str">
        <x:f>TEXT(B128,"yyyy-mm")</x:f>
        <x:v>2026-08</x:v>
      </x:c>
    </x:row>
    <x:row r="129" ht="26" customHeight="1">
      <x:c r="A129" s="2" t="str">
        <x:v>O128</x:v>
      </x:c>
      <x:c r="B129" s="7" t="d">
        <x:v>2026-08-16T00:00:00.000Z</x:v>
      </x:c>
      <x:c r="C129" s="2" t="str">
        <x:v>Планер</x:v>
      </x:c>
      <x:c r="D129" s="2" t="str">
        <x:v>Соцсети</x:v>
      </x:c>
      <x:c r="E129" s="29" t="n">
        <x:v>1</x:v>
      </x:c>
      <x:c r="F129" s="8" t="n">
        <x:v>800</x:v>
      </x:c>
      <x:c r="G129" s="8" t="n">
        <x:v>24</x:v>
      </x:c>
      <x:c r="H129" s="8" t="n">
        <x:v>280</x:v>
      </x:c>
      <x:c r="I129" s="2" t="str">
        <x:v>оплачен</x:v>
      </x:c>
      <x:c r="J129" s="8" t="n">
        <x:f>IF(I129="оплачен",E129*F129-G129,0)</x:f>
        <x:v>776</x:v>
      </x:c>
      <x:c r="K129" s="8" t="n">
        <x:f>IF(I129="оплачен",E129*H129,0)</x:f>
        <x:v>280</x:v>
      </x:c>
      <x:c r="L129" s="8" t="n">
        <x:f>J129-K129</x:f>
        <x:v>496</x:v>
      </x:c>
      <x:c r="M129" s="2" t="str">
        <x:f>TEXT(B129,"yyyy-mm")</x:f>
        <x:v>2026-08</x:v>
      </x:c>
    </x:row>
    <x:row r="130" ht="26" customHeight="1">
      <x:c r="A130" s="2" t="str">
        <x:v>O129</x:v>
      </x:c>
      <x:c r="B130" s="7" t="d">
        <x:v>2026-08-17T00:00:00.000Z</x:v>
      </x:c>
      <x:c r="C130" s="2" t="str">
        <x:v>Термокружка</x:v>
      </x:c>
      <x:c r="D130" s="2" t="str">
        <x:v>Соцсети</x:v>
      </x:c>
      <x:c r="E130" s="29" t="n">
        <x:v>2</x:v>
      </x:c>
      <x:c r="F130" s="8" t="n">
        <x:v>1600</x:v>
      </x:c>
      <x:c r="G130" s="8" t="n">
        <x:v>96</x:v>
      </x:c>
      <x:c r="H130" s="8" t="n">
        <x:v>650</x:v>
      </x:c>
      <x:c r="I130" s="2" t="str">
        <x:v>оплачен</x:v>
      </x:c>
      <x:c r="J130" s="8" t="n">
        <x:f>IF(I130="оплачен",E130*F130-G130,0)</x:f>
        <x:v>3104</x:v>
      </x:c>
      <x:c r="K130" s="8" t="n">
        <x:f>IF(I130="оплачен",E130*H130,0)</x:f>
        <x:v>1300</x:v>
      </x:c>
      <x:c r="L130" s="8" t="n">
        <x:f>J130-K130</x:f>
        <x:v>1804</x:v>
      </x:c>
      <x:c r="M130" s="2" t="str">
        <x:f>TEXT(B130,"yyyy-mm")</x:f>
        <x:v>2026-08</x:v>
      </x:c>
    </x:row>
    <x:row r="131" ht="26" customHeight="1">
      <x:c r="A131" s="2" t="str">
        <x:v>O130</x:v>
      </x:c>
      <x:c r="B131" s="7" t="d">
        <x:v>2026-08-18T00:00:00.000Z</x:v>
      </x:c>
      <x:c r="C131" s="2" t="str">
        <x:v>Рюкзак</x:v>
      </x:c>
      <x:c r="D131" s="2" t="str">
        <x:v>Соцсети</x:v>
      </x:c>
      <x:c r="E131" s="29" t="n">
        <x:v>1</x:v>
      </x:c>
      <x:c r="F131" s="8" t="n">
        <x:v>3600</x:v>
      </x:c>
      <x:c r="G131" s="8" t="n">
        <x:v>108</x:v>
      </x:c>
      <x:c r="H131" s="8" t="n">
        <x:v>1900</x:v>
      </x:c>
      <x:c r="I131" s="2" t="str">
        <x:v>оплачен</x:v>
      </x:c>
      <x:c r="J131" s="8" t="n">
        <x:f>IF(I131="оплачен",E131*F131-G131,0)</x:f>
        <x:v>3492</x:v>
      </x:c>
      <x:c r="K131" s="8" t="n">
        <x:f>IF(I131="оплачен",E131*H131,0)</x:f>
        <x:v>1900</x:v>
      </x:c>
      <x:c r="L131" s="8" t="n">
        <x:f>J131-K131</x:f>
        <x:v>1592</x:v>
      </x:c>
      <x:c r="M131" s="2" t="str">
        <x:f>TEXT(B131,"yyyy-mm")</x:f>
        <x:v>2026-08</x:v>
      </x:c>
    </x:row>
    <x:row r="132" ht="26" customHeight="1">
      <x:c r="A132" s="2" t="str">
        <x:v>O131</x:v>
      </x:c>
      <x:c r="B132" s="7" t="d">
        <x:v>2026-08-19T00:00:00.000Z</x:v>
      </x:c>
      <x:c r="C132" s="2" t="str">
        <x:v>Планер</x:v>
      </x:c>
      <x:c r="D132" s="2" t="str">
        <x:v>Соцсети</x:v>
      </x:c>
      <x:c r="E132" s="29" t="n">
        <x:v>4</x:v>
      </x:c>
      <x:c r="F132" s="8" t="n">
        <x:v>800</x:v>
      </x:c>
      <x:c r="G132" s="8" t="n">
        <x:v>96</x:v>
      </x:c>
      <x:c r="H132" s="8" t="n">
        <x:v>280</x:v>
      </x:c>
      <x:c r="I132" s="2" t="str">
        <x:v>отменён</x:v>
      </x:c>
      <x:c r="J132" s="8" t="n">
        <x:f>IF(I132="оплачен",E132*F132-G132,0)</x:f>
        <x:v>0</x:v>
      </x:c>
      <x:c r="K132" s="8" t="n">
        <x:f>IF(I132="оплачен",E132*H132,0)</x:f>
        <x:v>0</x:v>
      </x:c>
      <x:c r="L132" s="8" t="n">
        <x:f>J132-K132</x:f>
        <x:v>0</x:v>
      </x:c>
      <x:c r="M132" s="2" t="str">
        <x:f>TEXT(B132,"yyyy-mm")</x:f>
        <x:v>2026-08</x:v>
      </x:c>
    </x:row>
    <x:row r="133" ht="26" customHeight="1">
      <x:c r="A133" s="2" t="str">
        <x:v>O132</x:v>
      </x:c>
      <x:c r="B133" s="7" t="d">
        <x:v>2026-08-20T00:00:00.000Z</x:v>
      </x:c>
      <x:c r="C133" s="2" t="str">
        <x:v>Настольная лампа</x:v>
      </x:c>
      <x:c r="D133" s="2" t="str">
        <x:v>Маркетплейс</x:v>
      </x:c>
      <x:c r="E133" s="29" t="n">
        <x:v>1</x:v>
      </x:c>
      <x:c r="F133" s="8" t="n">
        <x:v>2900</x:v>
      </x:c>
      <x:c r="G133" s="8" t="n">
        <x:v>348</x:v>
      </x:c>
      <x:c r="H133" s="8" t="n">
        <x:v>1700</x:v>
      </x:c>
      <x:c r="I133" s="2" t="str">
        <x:v>оплачен</x:v>
      </x:c>
      <x:c r="J133" s="8" t="n">
        <x:f>IF(I133="оплачен",E133*F133-G133,0)</x:f>
        <x:v>2552</x:v>
      </x:c>
      <x:c r="K133" s="8" t="n">
        <x:f>IF(I133="оплачен",E133*H133,0)</x:f>
        <x:v>1700</x:v>
      </x:c>
      <x:c r="L133" s="8" t="n">
        <x:f>J133-K133</x:f>
        <x:v>852</x:v>
      </x:c>
      <x:c r="M133" s="2" t="str">
        <x:f>TEXT(B133,"yyyy-mm")</x:f>
        <x:v>2026-08</x:v>
      </x:c>
    </x:row>
    <x:row r="134" ht="26" customHeight="1">
      <x:c r="A134" s="2" t="str">
        <x:v>O133</x:v>
      </x:c>
      <x:c r="B134" s="7" t="d">
        <x:v>2026-08-21T00:00:00.000Z</x:v>
      </x:c>
      <x:c r="C134" s="2" t="str">
        <x:v>Планер</x:v>
      </x:c>
      <x:c r="D134" s="2" t="str">
        <x:v>Сайт</x:v>
      </x:c>
      <x:c r="E134" s="29" t="n">
        <x:v>4</x:v>
      </x:c>
      <x:c r="F134" s="8" t="n">
        <x:v>800</x:v>
      </x:c>
      <x:c r="G134" s="8" t="n">
        <x:v>96</x:v>
      </x:c>
      <x:c r="H134" s="8" t="n">
        <x:v>280</x:v>
      </x:c>
      <x:c r="I134" s="2" t="str">
        <x:v>оплачен</x:v>
      </x:c>
      <x:c r="J134" s="8" t="n">
        <x:f>IF(I134="оплачен",E134*F134-G134,0)</x:f>
        <x:v>3104</x:v>
      </x:c>
      <x:c r="K134" s="8" t="n">
        <x:f>IF(I134="оплачен",E134*H134,0)</x:f>
        <x:v>1120</x:v>
      </x:c>
      <x:c r="L134" s="8" t="n">
        <x:f>J134-K134</x:f>
        <x:v>1984</x:v>
      </x:c>
      <x:c r="M134" s="2" t="str">
        <x:f>TEXT(B134,"yyyy-mm")</x:f>
        <x:v>2026-08</x:v>
      </x:c>
    </x:row>
    <x:row r="135" ht="26" customHeight="1">
      <x:c r="A135" s="2" t="str">
        <x:v>O134</x:v>
      </x:c>
      <x:c r="B135" s="7" t="d">
        <x:v>2026-08-22T00:00:00.000Z</x:v>
      </x:c>
      <x:c r="C135" s="2" t="str">
        <x:v>Настольная лампа</x:v>
      </x:c>
      <x:c r="D135" s="2" t="str">
        <x:v>Маркетплейс</x:v>
      </x:c>
      <x:c r="E135" s="29" t="n">
        <x:v>3</x:v>
      </x:c>
      <x:c r="F135" s="8" t="n">
        <x:v>2900</x:v>
      </x:c>
      <x:c r="G135" s="8" t="n">
        <x:v>1044</x:v>
      </x:c>
      <x:c r="H135" s="8" t="n">
        <x:v>1700</x:v>
      </x:c>
      <x:c r="I135" s="2" t="str">
        <x:v>оплачен</x:v>
      </x:c>
      <x:c r="J135" s="8" t="n">
        <x:f>IF(I135="оплачен",E135*F135-G135,0)</x:f>
        <x:v>7656</x:v>
      </x:c>
      <x:c r="K135" s="8" t="n">
        <x:f>IF(I135="оплачен",E135*H135,0)</x:f>
        <x:v>5100</x:v>
      </x:c>
      <x:c r="L135" s="8" t="n">
        <x:f>J135-K135</x:f>
        <x:v>2556</x:v>
      </x:c>
      <x:c r="M135" s="2" t="str">
        <x:f>TEXT(B135,"yyyy-mm")</x:f>
        <x:v>2026-08</x:v>
      </x:c>
    </x:row>
    <x:row r="136" ht="26" customHeight="1">
      <x:c r="A136" s="2" t="str">
        <x:v>O135</x:v>
      </x:c>
      <x:c r="B136" s="7" t="d">
        <x:v>2026-08-23T00:00:00.000Z</x:v>
      </x:c>
      <x:c r="C136" s="2" t="str">
        <x:v>Настольная лампа</x:v>
      </x:c>
      <x:c r="D136" s="2" t="str">
        <x:v>Маркетплейс</x:v>
      </x:c>
      <x:c r="E136" s="29" t="n">
        <x:v>4</x:v>
      </x:c>
      <x:c r="F136" s="8" t="n">
        <x:v>2900</x:v>
      </x:c>
      <x:c r="G136" s="8" t="n">
        <x:v>1392</x:v>
      </x:c>
      <x:c r="H136" s="8" t="n">
        <x:v>1700</x:v>
      </x:c>
      <x:c r="I136" s="2" t="str">
        <x:v>оплачен</x:v>
      </x:c>
      <x:c r="J136" s="8" t="n">
        <x:f>IF(I136="оплачен",E136*F136-G136,0)</x:f>
        <x:v>10208</x:v>
      </x:c>
      <x:c r="K136" s="8" t="n">
        <x:f>IF(I136="оплачен",E136*H136,0)</x:f>
        <x:v>6800</x:v>
      </x:c>
      <x:c r="L136" s="8" t="n">
        <x:f>J136-K136</x:f>
        <x:v>3408</x:v>
      </x:c>
      <x:c r="M136" s="2" t="str">
        <x:f>TEXT(B136,"yyyy-mm")</x:f>
        <x:v>2026-08</x:v>
      </x:c>
    </x:row>
    <x:row r="137" ht="26" customHeight="1">
      <x:c r="A137" s="2" t="str">
        <x:v>O136</x:v>
      </x:c>
      <x:c r="B137" s="7" t="d">
        <x:v>2026-08-24T00:00:00.000Z</x:v>
      </x:c>
      <x:c r="C137" s="2" t="str">
        <x:v>Планер</x:v>
      </x:c>
      <x:c r="D137" s="2" t="str">
        <x:v>Маркетплейс</x:v>
      </x:c>
      <x:c r="E137" s="29" t="n">
        <x:v>2</x:v>
      </x:c>
      <x:c r="F137" s="8" t="n">
        <x:v>800</x:v>
      </x:c>
      <x:c r="G137" s="8" t="n">
        <x:v>192</x:v>
      </x:c>
      <x:c r="H137" s="8" t="n">
        <x:v>280</x:v>
      </x:c>
      <x:c r="I137" s="2" t="str">
        <x:v>оплачен</x:v>
      </x:c>
      <x:c r="J137" s="8" t="n">
        <x:f>IF(I137="оплачен",E137*F137-G137,0)</x:f>
        <x:v>1408</x:v>
      </x:c>
      <x:c r="K137" s="8" t="n">
        <x:f>IF(I137="оплачен",E137*H137,0)</x:f>
        <x:v>560</x:v>
      </x:c>
      <x:c r="L137" s="8" t="n">
        <x:f>J137-K137</x:f>
        <x:v>848</x:v>
      </x:c>
      <x:c r="M137" s="2" t="str">
        <x:f>TEXT(B137,"yyyy-mm")</x:f>
        <x:v>2026-08</x:v>
      </x:c>
    </x:row>
    <x:row r="138" ht="26" customHeight="1">
      <x:c r="A138" s="2" t="str">
        <x:v>O137</x:v>
      </x:c>
      <x:c r="B138" s="7" t="d">
        <x:v>2026-08-25T00:00:00.000Z</x:v>
      </x:c>
      <x:c r="C138" s="2" t="str">
        <x:v>Планер</x:v>
      </x:c>
      <x:c r="D138" s="2" t="str">
        <x:v>Маркетплейс</x:v>
      </x:c>
      <x:c r="E138" s="29" t="n">
        <x:v>1</x:v>
      </x:c>
      <x:c r="F138" s="8" t="n">
        <x:v>800</x:v>
      </x:c>
      <x:c r="G138" s="8" t="n">
        <x:v>96</x:v>
      </x:c>
      <x:c r="H138" s="8" t="n">
        <x:v>280</x:v>
      </x:c>
      <x:c r="I138" s="2" t="str">
        <x:v>возвращён</x:v>
      </x:c>
      <x:c r="J138" s="8" t="n">
        <x:f>IF(I138="оплачен",E138*F138-G138,0)</x:f>
        <x:v>0</x:v>
      </x:c>
      <x:c r="K138" s="8" t="n">
        <x:f>IF(I138="оплачен",E138*H138,0)</x:f>
        <x:v>0</x:v>
      </x:c>
      <x:c r="L138" s="8" t="n">
        <x:f>J138-K138</x:f>
        <x:v>0</x:v>
      </x:c>
      <x:c r="M138" s="2" t="str">
        <x:f>TEXT(B138,"yyyy-mm")</x:f>
        <x:v>2026-08</x:v>
      </x:c>
    </x:row>
    <x:row r="139" ht="26" customHeight="1">
      <x:c r="A139" s="2" t="str">
        <x:v>O138</x:v>
      </x:c>
      <x:c r="B139" s="7" t="d">
        <x:v>2026-08-26T00:00:00.000Z</x:v>
      </x:c>
      <x:c r="C139" s="2" t="str">
        <x:v>Планер</x:v>
      </x:c>
      <x:c r="D139" s="2" t="str">
        <x:v>Маркетплейс</x:v>
      </x:c>
      <x:c r="E139" s="29" t="n">
        <x:v>1</x:v>
      </x:c>
      <x:c r="F139" s="8" t="n">
        <x:v>800</x:v>
      </x:c>
      <x:c r="G139" s="8" t="n">
        <x:v>96</x:v>
      </x:c>
      <x:c r="H139" s="8" t="n">
        <x:v>280</x:v>
      </x:c>
      <x:c r="I139" s="2" t="str">
        <x:v>оплачен</x:v>
      </x:c>
      <x:c r="J139" s="8" t="n">
        <x:f>IF(I139="оплачен",E139*F139-G139,0)</x:f>
        <x:v>704</x:v>
      </x:c>
      <x:c r="K139" s="8" t="n">
        <x:f>IF(I139="оплачен",E139*H139,0)</x:f>
        <x:v>280</x:v>
      </x:c>
      <x:c r="L139" s="8" t="n">
        <x:f>J139-K139</x:f>
        <x:v>424</x:v>
      </x:c>
      <x:c r="M139" s="2" t="str">
        <x:f>TEXT(B139,"yyyy-mm")</x:f>
        <x:v>2026-08</x:v>
      </x:c>
    </x:row>
    <x:row r="140" ht="26" customHeight="1">
      <x:c r="A140" s="2" t="str">
        <x:v>O139</x:v>
      </x:c>
      <x:c r="B140" s="7" t="d">
        <x:v>2026-08-27T00:00:00.000Z</x:v>
      </x:c>
      <x:c r="C140" s="2" t="str">
        <x:v>Настольная лампа</x:v>
      </x:c>
      <x:c r="D140" s="2" t="str">
        <x:v>Маркетплейс</x:v>
      </x:c>
      <x:c r="E140" s="29" t="n">
        <x:v>4</x:v>
      </x:c>
      <x:c r="F140" s="8" t="n">
        <x:v>2900</x:v>
      </x:c>
      <x:c r="G140" s="8" t="n">
        <x:v>1392</x:v>
      </x:c>
      <x:c r="H140" s="8" t="n">
        <x:v>1700</x:v>
      </x:c>
      <x:c r="I140" s="2" t="str">
        <x:v>оплачен</x:v>
      </x:c>
      <x:c r="J140" s="8" t="n">
        <x:f>IF(I140="оплачен",E140*F140-G140,0)</x:f>
        <x:v>10208</x:v>
      </x:c>
      <x:c r="K140" s="8" t="n">
        <x:f>IF(I140="оплачен",E140*H140,0)</x:f>
        <x:v>6800</x:v>
      </x:c>
      <x:c r="L140" s="8" t="n">
        <x:f>J140-K140</x:f>
        <x:v>3408</x:v>
      </x:c>
      <x:c r="M140" s="2" t="str">
        <x:f>TEXT(B140,"yyyy-mm")</x:f>
        <x:v>2026-08</x:v>
      </x:c>
    </x:row>
    <x:row r="141" ht="26" customHeight="1">
      <x:c r="A141" s="2" t="str">
        <x:v>O140</x:v>
      </x:c>
      <x:c r="B141" s="7" t="d">
        <x:v>2026-08-28T00:00:00.000Z</x:v>
      </x:c>
      <x:c r="C141" s="2" t="str">
        <x:v>Планер</x:v>
      </x:c>
      <x:c r="D141" s="2" t="str">
        <x:v>Маркетплейс</x:v>
      </x:c>
      <x:c r="E141" s="29" t="n">
        <x:v>1</x:v>
      </x:c>
      <x:c r="F141" s="8" t="n">
        <x:v>800</x:v>
      </x:c>
      <x:c r="G141" s="8" t="n">
        <x:v>96</x:v>
      </x:c>
      <x:c r="H141" s="8" t="n">
        <x:v>280</x:v>
      </x:c>
      <x:c r="I141" s="2" t="str">
        <x:v>оплачен</x:v>
      </x:c>
      <x:c r="J141" s="8" t="n">
        <x:f>IF(I141="оплачен",E141*F141-G141,0)</x:f>
        <x:v>704</x:v>
      </x:c>
      <x:c r="K141" s="8" t="n">
        <x:f>IF(I141="оплачен",E141*H141,0)</x:f>
        <x:v>280</x:v>
      </x:c>
      <x:c r="L141" s="8" t="n">
        <x:f>J141-K141</x:f>
        <x:v>424</x:v>
      </x:c>
      <x:c r="M141" s="2" t="str">
        <x:f>TEXT(B141,"yyyy-mm")</x:f>
        <x:v>2026-08</x:v>
      </x:c>
    </x:row>
    <x:row r="142" ht="26" customHeight="1">
      <x:c r="A142" s="2" t="str">
        <x:v>O141</x:v>
      </x:c>
      <x:c r="B142" s="7" t="d">
        <x:v>2026-08-01T00:00:00.000Z</x:v>
      </x:c>
      <x:c r="C142" s="2" t="str">
        <x:v>Планер</x:v>
      </x:c>
      <x:c r="D142" s="2" t="str">
        <x:v>Соцсети</x:v>
      </x:c>
      <x:c r="E142" s="29" t="n">
        <x:v>2</x:v>
      </x:c>
      <x:c r="F142" s="8" t="n">
        <x:v>800</x:v>
      </x:c>
      <x:c r="G142" s="8" t="n">
        <x:v>48</x:v>
      </x:c>
      <x:c r="H142" s="8" t="n">
        <x:v>280</x:v>
      </x:c>
      <x:c r="I142" s="2" t="str">
        <x:v>оплачен</x:v>
      </x:c>
      <x:c r="J142" s="8" t="n">
        <x:f>IF(I142="оплачен",E142*F142-G142,0)</x:f>
        <x:v>1552</x:v>
      </x:c>
      <x:c r="K142" s="8" t="n">
        <x:f>IF(I142="оплачен",E142*H142,0)</x:f>
        <x:v>560</x:v>
      </x:c>
      <x:c r="L142" s="8" t="n">
        <x:f>J142-K142</x:f>
        <x:v>992</x:v>
      </x:c>
      <x:c r="M142" s="2" t="str">
        <x:f>TEXT(B142,"yyyy-mm")</x:f>
        <x:v>2026-08</x:v>
      </x:c>
    </x:row>
    <x:row r="143" ht="26" customHeight="1">
      <x:c r="A143" s="2" t="str">
        <x:v>O142</x:v>
      </x:c>
      <x:c r="B143" s="7" t="d">
        <x:v>2026-08-02T00:00:00.000Z</x:v>
      </x:c>
      <x:c r="C143" s="2" t="str">
        <x:v>Настольная лампа</x:v>
      </x:c>
      <x:c r="D143" s="2" t="str">
        <x:v>Маркетплейс</x:v>
      </x:c>
      <x:c r="E143" s="29" t="n">
        <x:v>3</x:v>
      </x:c>
      <x:c r="F143" s="8" t="n">
        <x:v>2900</x:v>
      </x:c>
      <x:c r="G143" s="8" t="n">
        <x:v>1044</x:v>
      </x:c>
      <x:c r="H143" s="8" t="n">
        <x:v>1700</x:v>
      </x:c>
      <x:c r="I143" s="2" t="str">
        <x:v>оплачен</x:v>
      </x:c>
      <x:c r="J143" s="8" t="n">
        <x:f>IF(I143="оплачен",E143*F143-G143,0)</x:f>
        <x:v>7656</x:v>
      </x:c>
      <x:c r="K143" s="8" t="n">
        <x:f>IF(I143="оплачен",E143*H143,0)</x:f>
        <x:v>5100</x:v>
      </x:c>
      <x:c r="L143" s="8" t="n">
        <x:f>J143-K143</x:f>
        <x:v>2556</x:v>
      </x:c>
      <x:c r="M143" s="2" t="str">
        <x:f>TEXT(B143,"yyyy-mm")</x:f>
        <x:v>2026-08</x:v>
      </x:c>
    </x:row>
    <x:row r="144" ht="26" customHeight="1">
      <x:c r="A144" s="2" t="str">
        <x:v>O143</x:v>
      </x:c>
      <x:c r="B144" s="7" t="d">
        <x:v>2026-08-03T00:00:00.000Z</x:v>
      </x:c>
      <x:c r="C144" s="2" t="str">
        <x:v>Планер</x:v>
      </x:c>
      <x:c r="D144" s="2" t="str">
        <x:v>Маркетплейс</x:v>
      </x:c>
      <x:c r="E144" s="29" t="n">
        <x:v>2</x:v>
      </x:c>
      <x:c r="F144" s="8" t="n">
        <x:v>800</x:v>
      </x:c>
      <x:c r="G144" s="8" t="n">
        <x:v>192</x:v>
      </x:c>
      <x:c r="H144" s="8" t="n">
        <x:v>280</x:v>
      </x:c>
      <x:c r="I144" s="2" t="str">
        <x:v>оплачен</x:v>
      </x:c>
      <x:c r="J144" s="8" t="n">
        <x:f>IF(I144="оплачен",E144*F144-G144,0)</x:f>
        <x:v>1408</x:v>
      </x:c>
      <x:c r="K144" s="8" t="n">
        <x:f>IF(I144="оплачен",E144*H144,0)</x:f>
        <x:v>560</x:v>
      </x:c>
      <x:c r="L144" s="8" t="n">
        <x:f>J144-K144</x:f>
        <x:v>848</x:v>
      </x:c>
      <x:c r="M144" s="2" t="str">
        <x:f>TEXT(B144,"yyyy-mm")</x:f>
        <x:v>2026-08</x:v>
      </x:c>
    </x:row>
    <x:row r="145" ht="26" customHeight="1">
      <x:c r="A145" s="2" t="str">
        <x:v>O144</x:v>
      </x:c>
      <x:c r="B145" s="7" t="d">
        <x:v>2026-08-04T00:00:00.000Z</x:v>
      </x:c>
      <x:c r="C145" s="2" t="str">
        <x:v>Планер</x:v>
      </x:c>
      <x:c r="D145" s="2" t="str">
        <x:v>Маркетплейс</x:v>
      </x:c>
      <x:c r="E145" s="29" t="n">
        <x:v>4</x:v>
      </x:c>
      <x:c r="F145" s="8" t="n">
        <x:v>800</x:v>
      </x:c>
      <x:c r="G145" s="8" t="n">
        <x:v>384</x:v>
      </x:c>
      <x:c r="H145" s="8" t="n">
        <x:v>280</x:v>
      </x:c>
      <x:c r="I145" s="2" t="str">
        <x:v>отменён</x:v>
      </x:c>
      <x:c r="J145" s="8" t="n">
        <x:f>IF(I145="оплачен",E145*F145-G145,0)</x:f>
        <x:v>0</x:v>
      </x:c>
      <x:c r="K145" s="8" t="n">
        <x:f>IF(I145="оплачен",E145*H145,0)</x:f>
        <x:v>0</x:v>
      </x:c>
      <x:c r="L145" s="8" t="n">
        <x:f>J145-K145</x:f>
        <x:v>0</x:v>
      </x:c>
      <x:c r="M145" s="2" t="str">
        <x:f>TEXT(B145,"yyyy-mm")</x:f>
        <x:v>2026-08</x:v>
      </x:c>
    </x:row>
    <x:row r="146" ht="26" customHeight="1">
      <x:c r="A146" s="2" t="str">
        <x:v>O145</x:v>
      </x:c>
      <x:c r="B146" s="7" t="d">
        <x:v>2026-08-05T00:00:00.000Z</x:v>
      </x:c>
      <x:c r="C146" s="2" t="str">
        <x:v>Настольная лампа</x:v>
      </x:c>
      <x:c r="D146" s="2" t="str">
        <x:v>Соцсети</x:v>
      </x:c>
      <x:c r="E146" s="29" t="n">
        <x:v>3</x:v>
      </x:c>
      <x:c r="F146" s="8" t="n">
        <x:v>2900</x:v>
      </x:c>
      <x:c r="G146" s="8" t="n">
        <x:v>261</x:v>
      </x:c>
      <x:c r="H146" s="8" t="n">
        <x:v>1700</x:v>
      </x:c>
      <x:c r="I146" s="2" t="str">
        <x:v>оплачен</x:v>
      </x:c>
      <x:c r="J146" s="8" t="n">
        <x:f>IF(I146="оплачен",E146*F146-G146,0)</x:f>
        <x:v>8439</x:v>
      </x:c>
      <x:c r="K146" s="8" t="n">
        <x:f>IF(I146="оплачен",E146*H146,0)</x:f>
        <x:v>5100</x:v>
      </x:c>
      <x:c r="L146" s="8" t="n">
        <x:f>J146-K146</x:f>
        <x:v>3339</x:v>
      </x:c>
      <x:c r="M146" s="2" t="str">
        <x:f>TEXT(B146,"yyyy-mm")</x:f>
        <x:v>2026-08</x:v>
      </x:c>
    </x:row>
    <x:row r="147" ht="26" customHeight="1">
      <x:c r="A147" s="2" t="str">
        <x:v>O146</x:v>
      </x:c>
      <x:c r="B147" s="7" t="d">
        <x:v>2026-08-06T00:00:00.000Z</x:v>
      </x:c>
      <x:c r="C147" s="2" t="str">
        <x:v>Рюкзак</x:v>
      </x:c>
      <x:c r="D147" s="2" t="str">
        <x:v>Маркетплейс</x:v>
      </x:c>
      <x:c r="E147" s="29" t="n">
        <x:v>4</x:v>
      </x:c>
      <x:c r="F147" s="8" t="n">
        <x:v>3600</x:v>
      </x:c>
      <x:c r="G147" s="8" t="n">
        <x:v>1728</x:v>
      </x:c>
      <x:c r="H147" s="8" t="n">
        <x:v>1900</x:v>
      </x:c>
      <x:c r="I147" s="2" t="str">
        <x:v>оплачен</x:v>
      </x:c>
      <x:c r="J147" s="8" t="n">
        <x:f>IF(I147="оплачен",E147*F147-G147,0)</x:f>
        <x:v>12672</x:v>
      </x:c>
      <x:c r="K147" s="8" t="n">
        <x:f>IF(I147="оплачен",E147*H147,0)</x:f>
        <x:v>7600</x:v>
      </x:c>
      <x:c r="L147" s="8" t="n">
        <x:f>J147-K147</x:f>
        <x:v>5072</x:v>
      </x:c>
      <x:c r="M147" s="2" t="str">
        <x:f>TEXT(B147,"yyyy-mm")</x:f>
        <x:v>2026-08</x:v>
      </x:c>
    </x:row>
    <x:row r="148" ht="26" customHeight="1">
      <x:c r="A148" s="2" t="str">
        <x:v>O147</x:v>
      </x:c>
      <x:c r="B148" s="7" t="d">
        <x:v>2026-08-07T00:00:00.000Z</x:v>
      </x:c>
      <x:c r="C148" s="2" t="str">
        <x:v>Рюкзак</x:v>
      </x:c>
      <x:c r="D148" s="2" t="str">
        <x:v>Маркетплейс</x:v>
      </x:c>
      <x:c r="E148" s="29" t="n">
        <x:v>1</x:v>
      </x:c>
      <x:c r="F148" s="8" t="n">
        <x:v>3600</x:v>
      </x:c>
      <x:c r="G148" s="8" t="n">
        <x:v>432</x:v>
      </x:c>
      <x:c r="H148" s="8" t="n">
        <x:v>1900</x:v>
      </x:c>
      <x:c r="I148" s="2" t="str">
        <x:v>оплачен</x:v>
      </x:c>
      <x:c r="J148" s="8" t="n">
        <x:f>IF(I148="оплачен",E148*F148-G148,0)</x:f>
        <x:v>3168</x:v>
      </x:c>
      <x:c r="K148" s="8" t="n">
        <x:f>IF(I148="оплачен",E148*H148,0)</x:f>
        <x:v>1900</x:v>
      </x:c>
      <x:c r="L148" s="8" t="n">
        <x:f>J148-K148</x:f>
        <x:v>1268</x:v>
      </x:c>
      <x:c r="M148" s="2" t="str">
        <x:f>TEXT(B148,"yyyy-mm")</x:f>
        <x:v>2026-08</x:v>
      </x:c>
    </x:row>
    <x:row r="149" ht="26" customHeight="1">
      <x:c r="A149" s="2" t="str">
        <x:v>O148</x:v>
      </x:c>
      <x:c r="B149" s="7" t="d">
        <x:v>2026-08-08T00:00:00.000Z</x:v>
      </x:c>
      <x:c r="C149" s="2" t="str">
        <x:v>Планер</x:v>
      </x:c>
      <x:c r="D149" s="2" t="str">
        <x:v>Соцсети</x:v>
      </x:c>
      <x:c r="E149" s="29" t="n">
        <x:v>1</x:v>
      </x:c>
      <x:c r="F149" s="8" t="n">
        <x:v>800</x:v>
      </x:c>
      <x:c r="G149" s="8" t="n">
        <x:v>24</x:v>
      </x:c>
      <x:c r="H149" s="8" t="n">
        <x:v>280</x:v>
      </x:c>
      <x:c r="I149" s="2" t="str">
        <x:v>оплачен</x:v>
      </x:c>
      <x:c r="J149" s="8" t="n">
        <x:f>IF(I149="оплачен",E149*F149-G149,0)</x:f>
        <x:v>776</x:v>
      </x:c>
      <x:c r="K149" s="8" t="n">
        <x:f>IF(I149="оплачен",E149*H149,0)</x:f>
        <x:v>280</x:v>
      </x:c>
      <x:c r="L149" s="8" t="n">
        <x:f>J149-K149</x:f>
        <x:v>496</x:v>
      </x:c>
      <x:c r="M149" s="2" t="str">
        <x:f>TEXT(B149,"yyyy-mm")</x:f>
        <x:v>2026-08</x:v>
      </x:c>
    </x:row>
    <x:row r="150" ht="26" customHeight="1">
      <x:c r="A150" s="2" t="str">
        <x:v>O149</x:v>
      </x:c>
      <x:c r="B150" s="7" t="d">
        <x:v>2026-08-09T00:00:00.000Z</x:v>
      </x:c>
      <x:c r="C150" s="2" t="str">
        <x:v>Рюкзак</x:v>
      </x:c>
      <x:c r="D150" s="2" t="str">
        <x:v>Маркетплейс</x:v>
      </x:c>
      <x:c r="E150" s="29" t="n">
        <x:v>1</x:v>
      </x:c>
      <x:c r="F150" s="8" t="n">
        <x:v>3600</x:v>
      </x:c>
      <x:c r="G150" s="8" t="n">
        <x:v>432</x:v>
      </x:c>
      <x:c r="H150" s="8" t="n">
        <x:v>1900</x:v>
      </x:c>
      <x:c r="I150" s="2" t="str">
        <x:v>оплачен</x:v>
      </x:c>
      <x:c r="J150" s="8" t="n">
        <x:f>IF(I150="оплачен",E150*F150-G150,0)</x:f>
        <x:v>3168</x:v>
      </x:c>
      <x:c r="K150" s="8" t="n">
        <x:f>IF(I150="оплачен",E150*H150,0)</x:f>
        <x:v>1900</x:v>
      </x:c>
      <x:c r="L150" s="8" t="n">
        <x:f>J150-K150</x:f>
        <x:v>1268</x:v>
      </x:c>
      <x:c r="M150" s="2" t="str">
        <x:f>TEXT(B150,"yyyy-mm")</x:f>
        <x:v>2026-08</x:v>
      </x:c>
    </x:row>
    <x:row r="151" ht="26" customHeight="1">
      <x:c r="A151" s="2" t="str">
        <x:v>O150</x:v>
      </x:c>
      <x:c r="B151" s="7" t="d">
        <x:v>2026-08-10T00:00:00.000Z</x:v>
      </x:c>
      <x:c r="C151" s="2" t="str">
        <x:v>Термокружка</x:v>
      </x:c>
      <x:c r="D151" s="2" t="str">
        <x:v>Соцсети</x:v>
      </x:c>
      <x:c r="E151" s="29" t="n">
        <x:v>1</x:v>
      </x:c>
      <x:c r="F151" s="8" t="n">
        <x:v>1600</x:v>
      </x:c>
      <x:c r="G151" s="8" t="n">
        <x:v>48</x:v>
      </x:c>
      <x:c r="H151" s="8" t="n">
        <x:v>650</x:v>
      </x:c>
      <x:c r="I151" s="2" t="str">
        <x:v>оплачен</x:v>
      </x:c>
      <x:c r="J151" s="8" t="n">
        <x:f>IF(I151="оплачен",E151*F151-G151,0)</x:f>
        <x:v>1552</x:v>
      </x:c>
      <x:c r="K151" s="8" t="n">
        <x:f>IF(I151="оплачен",E151*H151,0)</x:f>
        <x:v>650</x:v>
      </x:c>
      <x:c r="L151" s="8" t="n">
        <x:f>J151-K151</x:f>
        <x:v>902</x:v>
      </x:c>
      <x:c r="M151" s="2" t="str">
        <x:f>TEXT(B151,"yyyy-mm")</x:f>
        <x:v>2026-08</x:v>
      </x:c>
    </x:row>
    <x:row r="152" ht="26" customHeight="1">
      <x:c r="A152" s="2" t="str">
        <x:v>O151</x:v>
      </x:c>
      <x:c r="B152" s="7" t="d">
        <x:v>2026-08-11T00:00:00.000Z</x:v>
      </x:c>
      <x:c r="C152" s="2" t="str">
        <x:v>Термокружка</x:v>
      </x:c>
      <x:c r="D152" s="2" t="str">
        <x:v>Маркетплейс</x:v>
      </x:c>
      <x:c r="E152" s="29" t="n">
        <x:v>3</x:v>
      </x:c>
      <x:c r="F152" s="8" t="n">
        <x:v>1600</x:v>
      </x:c>
      <x:c r="G152" s="8" t="n">
        <x:v>576</x:v>
      </x:c>
      <x:c r="H152" s="8" t="n">
        <x:v>650</x:v>
      </x:c>
      <x:c r="I152" s="2" t="str">
        <x:v>оплачен</x:v>
      </x:c>
      <x:c r="J152" s="8" t="n">
        <x:f>IF(I152="оплачен",E152*F152-G152,0)</x:f>
        <x:v>4224</x:v>
      </x:c>
      <x:c r="K152" s="8" t="n">
        <x:f>IF(I152="оплачен",E152*H152,0)</x:f>
        <x:v>1950</x:v>
      </x:c>
      <x:c r="L152" s="8" t="n">
        <x:f>J152-K152</x:f>
        <x:v>2274</x:v>
      </x:c>
      <x:c r="M152" s="2" t="str">
        <x:f>TEXT(B152,"yyyy-mm")</x:f>
        <x:v>2026-08</x:v>
      </x:c>
    </x:row>
    <x:row r="153" ht="26" customHeight="1">
      <x:c r="A153" s="2" t="str">
        <x:v>O152</x:v>
      </x:c>
      <x:c r="B153" s="7" t="d">
        <x:v>2026-08-12T00:00:00.000Z</x:v>
      </x:c>
      <x:c r="C153" s="2" t="str">
        <x:v>Термокружка</x:v>
      </x:c>
      <x:c r="D153" s="2" t="str">
        <x:v>Маркетплейс</x:v>
      </x:c>
      <x:c r="E153" s="29" t="n">
        <x:v>2</x:v>
      </x:c>
      <x:c r="F153" s="8" t="n">
        <x:v>1600</x:v>
      </x:c>
      <x:c r="G153" s="8" t="n">
        <x:v>384</x:v>
      </x:c>
      <x:c r="H153" s="8" t="n">
        <x:v>650</x:v>
      </x:c>
      <x:c r="I153" s="2" t="str">
        <x:v>оплачен</x:v>
      </x:c>
      <x:c r="J153" s="8" t="n">
        <x:f>IF(I153="оплачен",E153*F153-G153,0)</x:f>
        <x:v>2816</x:v>
      </x:c>
      <x:c r="K153" s="8" t="n">
        <x:f>IF(I153="оплачен",E153*H153,0)</x:f>
        <x:v>1300</x:v>
      </x:c>
      <x:c r="L153" s="8" t="n">
        <x:f>J153-K153</x:f>
        <x:v>1516</x:v>
      </x:c>
      <x:c r="M153" s="2" t="str">
        <x:f>TEXT(B153,"yyyy-mm")</x:f>
        <x:v>2026-08</x:v>
      </x:c>
    </x:row>
    <x:row r="154" ht="26" customHeight="1">
      <x:c r="A154" s="2" t="str">
        <x:v>O153</x:v>
      </x:c>
      <x:c r="B154" s="7" t="d">
        <x:v>2026-08-13T00:00:00.000Z</x:v>
      </x:c>
      <x:c r="C154" s="2" t="str">
        <x:v>Термокружка</x:v>
      </x:c>
      <x:c r="D154" s="2" t="str">
        <x:v>Соцсети</x:v>
      </x:c>
      <x:c r="E154" s="29" t="n">
        <x:v>2</x:v>
      </x:c>
      <x:c r="F154" s="8" t="n">
        <x:v>1600</x:v>
      </x:c>
      <x:c r="G154" s="8" t="n">
        <x:v>96</x:v>
      </x:c>
      <x:c r="H154" s="8" t="n">
        <x:v>650</x:v>
      </x:c>
      <x:c r="I154" s="2" t="str">
        <x:v>оплачен</x:v>
      </x:c>
      <x:c r="J154" s="8" t="n">
        <x:f>IF(I154="оплачен",E154*F154-G154,0)</x:f>
        <x:v>3104</x:v>
      </x:c>
      <x:c r="K154" s="8" t="n">
        <x:f>IF(I154="оплачен",E154*H154,0)</x:f>
        <x:v>1300</x:v>
      </x:c>
      <x:c r="L154" s="8" t="n">
        <x:f>J154-K154</x:f>
        <x:v>1804</x:v>
      </x:c>
      <x:c r="M154" s="2" t="str">
        <x:f>TEXT(B154,"yyyy-mm")</x:f>
        <x:v>2026-08</x:v>
      </x:c>
    </x:row>
    <x:row r="155" ht="26" customHeight="1">
      <x:c r="A155" s="2" t="str">
        <x:v>O154</x:v>
      </x:c>
      <x:c r="B155" s="7" t="d">
        <x:v>2026-08-14T00:00:00.000Z</x:v>
      </x:c>
      <x:c r="C155" s="2" t="str">
        <x:v>Настольная лампа</x:v>
      </x:c>
      <x:c r="D155" s="2" t="str">
        <x:v>Сайт</x:v>
      </x:c>
      <x:c r="E155" s="29" t="n">
        <x:v>2</x:v>
      </x:c>
      <x:c r="F155" s="8" t="n">
        <x:v>2900</x:v>
      </x:c>
      <x:c r="G155" s="8" t="n">
        <x:v>174</x:v>
      </x:c>
      <x:c r="H155" s="8" t="n">
        <x:v>1700</x:v>
      </x:c>
      <x:c r="I155" s="2" t="str">
        <x:v>возвращён</x:v>
      </x:c>
      <x:c r="J155" s="8" t="n">
        <x:f>IF(I155="оплачен",E155*F155-G155,0)</x:f>
        <x:v>0</x:v>
      </x:c>
      <x:c r="K155" s="8" t="n">
        <x:f>IF(I155="оплачен",E155*H155,0)</x:f>
        <x:v>0</x:v>
      </x:c>
      <x:c r="L155" s="8" t="n">
        <x:f>J155-K155</x:f>
        <x:v>0</x:v>
      </x:c>
      <x:c r="M155" s="2" t="str">
        <x:f>TEXT(B155,"yyyy-mm")</x:f>
        <x:v>2026-08</x:v>
      </x:c>
    </x:row>
    <x:row r="156" ht="26" customHeight="1">
      <x:c r="A156" s="2" t="str">
        <x:v>O155</x:v>
      </x:c>
      <x:c r="B156" s="7" t="d">
        <x:v>2026-08-15T00:00:00.000Z</x:v>
      </x:c>
      <x:c r="C156" s="2" t="str">
        <x:v>Термокружка</x:v>
      </x:c>
      <x:c r="D156" s="2" t="str">
        <x:v>Сайт</x:v>
      </x:c>
      <x:c r="E156" s="29" t="n">
        <x:v>3</x:v>
      </x:c>
      <x:c r="F156" s="8" t="n">
        <x:v>1600</x:v>
      </x:c>
      <x:c r="G156" s="8" t="n">
        <x:v>144</x:v>
      </x:c>
      <x:c r="H156" s="8" t="n">
        <x:v>650</x:v>
      </x:c>
      <x:c r="I156" s="2" t="str">
        <x:v>оплачен</x:v>
      </x:c>
      <x:c r="J156" s="8" t="n">
        <x:f>IF(I156="оплачен",E156*F156-G156,0)</x:f>
        <x:v>4656</x:v>
      </x:c>
      <x:c r="K156" s="8" t="n">
        <x:f>IF(I156="оплачен",E156*H156,0)</x:f>
        <x:v>1950</x:v>
      </x:c>
      <x:c r="L156" s="8" t="n">
        <x:f>J156-K156</x:f>
        <x:v>2706</x:v>
      </x:c>
      <x:c r="M156" s="2" t="str">
        <x:f>TEXT(B156,"yyyy-mm")</x:f>
        <x:v>2026-08</x:v>
      </x:c>
    </x:row>
    <x:row r="157" ht="26" customHeight="1">
      <x:c r="A157" s="2" t="str">
        <x:v>O156</x:v>
      </x:c>
      <x:c r="B157" s="7" t="d">
        <x:v>2026-08-16T00:00:00.000Z</x:v>
      </x:c>
      <x:c r="C157" s="2" t="str">
        <x:v>Рюкзак</x:v>
      </x:c>
      <x:c r="D157" s="2" t="str">
        <x:v>Маркетплейс</x:v>
      </x:c>
      <x:c r="E157" s="29" t="n">
        <x:v>2</x:v>
      </x:c>
      <x:c r="F157" s="8" t="n">
        <x:v>3600</x:v>
      </x:c>
      <x:c r="G157" s="8" t="n">
        <x:v>864</x:v>
      </x:c>
      <x:c r="H157" s="8" t="n">
        <x:v>1900</x:v>
      </x:c>
      <x:c r="I157" s="2" t="str">
        <x:v>оплачен</x:v>
      </x:c>
      <x:c r="J157" s="8" t="n">
        <x:f>IF(I157="оплачен",E157*F157-G157,0)</x:f>
        <x:v>6336</x:v>
      </x:c>
      <x:c r="K157" s="8" t="n">
        <x:f>IF(I157="оплачен",E157*H157,0)</x:f>
        <x:v>3800</x:v>
      </x:c>
      <x:c r="L157" s="8" t="n">
        <x:f>J157-K157</x:f>
        <x:v>2536</x:v>
      </x:c>
      <x:c r="M157" s="2" t="str">
        <x:f>TEXT(B157,"yyyy-mm")</x:f>
        <x:v>2026-08</x:v>
      </x:c>
    </x:row>
    <x:row r="158" ht="26" customHeight="1">
      <x:c r="A158" s="2" t="str">
        <x:v>O157</x:v>
      </x:c>
      <x:c r="B158" s="7" t="d">
        <x:v>2026-08-17T00:00:00.000Z</x:v>
      </x:c>
      <x:c r="C158" s="2" t="str">
        <x:v>Настольная лампа</x:v>
      </x:c>
      <x:c r="D158" s="2" t="str">
        <x:v>Сайт</x:v>
      </x:c>
      <x:c r="E158" s="29" t="n">
        <x:v>4</x:v>
      </x:c>
      <x:c r="F158" s="8" t="n">
        <x:v>2900</x:v>
      </x:c>
      <x:c r="G158" s="8" t="n">
        <x:v>348</x:v>
      </x:c>
      <x:c r="H158" s="8" t="n">
        <x:v>1700</x:v>
      </x:c>
      <x:c r="I158" s="2" t="str">
        <x:v>отменён</x:v>
      </x:c>
      <x:c r="J158" s="8" t="n">
        <x:f>IF(I158="оплачен",E158*F158-G158,0)</x:f>
        <x:v>0</x:v>
      </x:c>
      <x:c r="K158" s="8" t="n">
        <x:f>IF(I158="оплачен",E158*H158,0)</x:f>
        <x:v>0</x:v>
      </x:c>
      <x:c r="L158" s="8" t="n">
        <x:f>J158-K158</x:f>
        <x:v>0</x:v>
      </x:c>
      <x:c r="M158" s="2" t="str">
        <x:f>TEXT(B158,"yyyy-mm")</x:f>
        <x:v>2026-08</x:v>
      </x:c>
    </x:row>
    <x:row r="159" ht="26" customHeight="1">
      <x:c r="A159" s="2" t="str">
        <x:v>O158</x:v>
      </x:c>
      <x:c r="B159" s="7" t="d">
        <x:v>2026-08-18T00:00:00.000Z</x:v>
      </x:c>
      <x:c r="C159" s="2" t="str">
        <x:v>Термокружка</x:v>
      </x:c>
      <x:c r="D159" s="2" t="str">
        <x:v>Сайт</x:v>
      </x:c>
      <x:c r="E159" s="29" t="n">
        <x:v>1</x:v>
      </x:c>
      <x:c r="F159" s="8" t="n">
        <x:v>1600</x:v>
      </x:c>
      <x:c r="G159" s="8" t="n">
        <x:v>48</x:v>
      </x:c>
      <x:c r="H159" s="8" t="n">
        <x:v>650</x:v>
      </x:c>
      <x:c r="I159" s="2" t="str">
        <x:v>оплачен</x:v>
      </x:c>
      <x:c r="J159" s="8" t="n">
        <x:f>IF(I159="оплачен",E159*F159-G159,0)</x:f>
        <x:v>1552</x:v>
      </x:c>
      <x:c r="K159" s="8" t="n">
        <x:f>IF(I159="оплачен",E159*H159,0)</x:f>
        <x:v>650</x:v>
      </x:c>
      <x:c r="L159" s="8" t="n">
        <x:f>J159-K159</x:f>
        <x:v>902</x:v>
      </x:c>
      <x:c r="M159" s="2" t="str">
        <x:f>TEXT(B159,"yyyy-mm")</x:f>
        <x:v>2026-08</x:v>
      </x:c>
    </x:row>
    <x:row r="160" ht="26" customHeight="1">
      <x:c r="A160" s="2" t="str">
        <x:v>O159</x:v>
      </x:c>
      <x:c r="B160" s="7" t="d">
        <x:v>2026-08-19T00:00:00.000Z</x:v>
      </x:c>
      <x:c r="C160" s="2" t="str">
        <x:v>Рюкзак</x:v>
      </x:c>
      <x:c r="D160" s="2" t="str">
        <x:v>Соцсети</x:v>
      </x:c>
      <x:c r="E160" s="29" t="n">
        <x:v>1</x:v>
      </x:c>
      <x:c r="F160" s="8" t="n">
        <x:v>3600</x:v>
      </x:c>
      <x:c r="G160" s="8" t="n">
        <x:v>108</x:v>
      </x:c>
      <x:c r="H160" s="8" t="n">
        <x:v>1900</x:v>
      </x:c>
      <x:c r="I160" s="2" t="str">
        <x:v>оплачен</x:v>
      </x:c>
      <x:c r="J160" s="8" t="n">
        <x:f>IF(I160="оплачен",E160*F160-G160,0)</x:f>
        <x:v>3492</x:v>
      </x:c>
      <x:c r="K160" s="8" t="n">
        <x:f>IF(I160="оплачен",E160*H160,0)</x:f>
        <x:v>1900</x:v>
      </x:c>
      <x:c r="L160" s="8" t="n">
        <x:f>J160-K160</x:f>
        <x:v>1592</x:v>
      </x:c>
      <x:c r="M160" s="2" t="str">
        <x:f>TEXT(B160,"yyyy-mm")</x:f>
        <x:v>2026-08</x:v>
      </x:c>
    </x:row>
    <x:row r="161" ht="26" customHeight="1">
      <x:c r="A161" s="2" t="str">
        <x:v>O160</x:v>
      </x:c>
      <x:c r="B161" s="7" t="d">
        <x:v>2026-08-20T00:00:00.000Z</x:v>
      </x:c>
      <x:c r="C161" s="2" t="str">
        <x:v>Настольная лампа</x:v>
      </x:c>
      <x:c r="D161" s="2" t="str">
        <x:v>Соцсети</x:v>
      </x:c>
      <x:c r="E161" s="29" t="n">
        <x:v>4</x:v>
      </x:c>
      <x:c r="F161" s="8" t="n">
        <x:v>2900</x:v>
      </x:c>
      <x:c r="G161" s="8" t="n">
        <x:v>348</x:v>
      </x:c>
      <x:c r="H161" s="8" t="n">
        <x:v>1700</x:v>
      </x:c>
      <x:c r="I161" s="2" t="str">
        <x:v>оплачен</x:v>
      </x:c>
      <x:c r="J161" s="8" t="n">
        <x:f>IF(I161="оплачен",E161*F161-G161,0)</x:f>
        <x:v>11252</x:v>
      </x:c>
      <x:c r="K161" s="8" t="n">
        <x:f>IF(I161="оплачен",E161*H161,0)</x:f>
        <x:v>6800</x:v>
      </x:c>
      <x:c r="L161" s="8" t="n">
        <x:f>J161-K161</x:f>
        <x:v>4452</x:v>
      </x:c>
      <x:c r="M161" s="2" t="str">
        <x:f>TEXT(B161,"yyyy-mm")</x:f>
        <x:v>2026-08</x:v>
      </x:c>
    </x:row>
    <x:row r="162" ht="26" customHeight="1">
      <x:c r="A162" s="2" t="str">
        <x:v>O161</x:v>
      </x:c>
      <x:c r="B162" s="7" t="d">
        <x:v>2026-09-21T00:00:00.000Z</x:v>
      </x:c>
      <x:c r="C162" s="2" t="str">
        <x:v>Рюкзак</x:v>
      </x:c>
      <x:c r="D162" s="2" t="str">
        <x:v>Соцсети</x:v>
      </x:c>
      <x:c r="E162" s="29" t="n">
        <x:v>1</x:v>
      </x:c>
      <x:c r="F162" s="8" t="n">
        <x:v>3600</x:v>
      </x:c>
      <x:c r="G162" s="8" t="n">
        <x:v>108</x:v>
      </x:c>
      <x:c r="H162" s="8" t="n">
        <x:v>1900</x:v>
      </x:c>
      <x:c r="I162" s="2" t="str">
        <x:v>оплачен</x:v>
      </x:c>
      <x:c r="J162" s="8" t="n">
        <x:f>IF(I162="оплачен",E162*F162-G162,0)</x:f>
        <x:v>3492</x:v>
      </x:c>
      <x:c r="K162" s="8" t="n">
        <x:f>IF(I162="оплачен",E162*H162,0)</x:f>
        <x:v>1900</x:v>
      </x:c>
      <x:c r="L162" s="8" t="n">
        <x:f>J162-K162</x:f>
        <x:v>1592</x:v>
      </x:c>
      <x:c r="M162" s="2" t="str">
        <x:f>TEXT(B162,"yyyy-mm")</x:f>
        <x:v>2026-09</x:v>
      </x:c>
    </x:row>
    <x:row r="163" ht="26" customHeight="1">
      <x:c r="A163" s="2" t="str">
        <x:v>O162</x:v>
      </x:c>
      <x:c r="B163" s="7" t="d">
        <x:v>2026-09-22T00:00:00.000Z</x:v>
      </x:c>
      <x:c r="C163" s="2" t="str">
        <x:v>Термокружка</x:v>
      </x:c>
      <x:c r="D163" s="2" t="str">
        <x:v>Сайт</x:v>
      </x:c>
      <x:c r="E163" s="29" t="n">
        <x:v>1</x:v>
      </x:c>
      <x:c r="F163" s="8" t="n">
        <x:v>1600</x:v>
      </x:c>
      <x:c r="G163" s="8" t="n">
        <x:v>48</x:v>
      </x:c>
      <x:c r="H163" s="8" t="n">
        <x:v>650</x:v>
      </x:c>
      <x:c r="I163" s="2" t="str">
        <x:v>оплачен</x:v>
      </x:c>
      <x:c r="J163" s="8" t="n">
        <x:f>IF(I163="оплачен",E163*F163-G163,0)</x:f>
        <x:v>1552</x:v>
      </x:c>
      <x:c r="K163" s="8" t="n">
        <x:f>IF(I163="оплачен",E163*H163,0)</x:f>
        <x:v>650</x:v>
      </x:c>
      <x:c r="L163" s="8" t="n">
        <x:f>J163-K163</x:f>
        <x:v>902</x:v>
      </x:c>
      <x:c r="M163" s="2" t="str">
        <x:f>TEXT(B163,"yyyy-mm")</x:f>
        <x:v>2026-09</x:v>
      </x:c>
    </x:row>
    <x:row r="164" ht="26" customHeight="1">
      <x:c r="A164" s="2" t="str">
        <x:v>O163</x:v>
      </x:c>
      <x:c r="B164" s="7" t="d">
        <x:v>2026-09-23T00:00:00.000Z</x:v>
      </x:c>
      <x:c r="C164" s="2" t="str">
        <x:v>Термокружка</x:v>
      </x:c>
      <x:c r="D164" s="2" t="str">
        <x:v>Сайт</x:v>
      </x:c>
      <x:c r="E164" s="29" t="n">
        <x:v>1</x:v>
      </x:c>
      <x:c r="F164" s="8" t="n">
        <x:v>1600</x:v>
      </x:c>
      <x:c r="G164" s="8" t="n">
        <x:v>48</x:v>
      </x:c>
      <x:c r="H164" s="8" t="n">
        <x:v>650</x:v>
      </x:c>
      <x:c r="I164" s="2" t="str">
        <x:v>оплачен</x:v>
      </x:c>
      <x:c r="J164" s="8" t="n">
        <x:f>IF(I164="оплачен",E164*F164-G164,0)</x:f>
        <x:v>1552</x:v>
      </x:c>
      <x:c r="K164" s="8" t="n">
        <x:f>IF(I164="оплачен",E164*H164,0)</x:f>
        <x:v>650</x:v>
      </x:c>
      <x:c r="L164" s="8" t="n">
        <x:f>J164-K164</x:f>
        <x:v>902</x:v>
      </x:c>
      <x:c r="M164" s="2" t="str">
        <x:f>TEXT(B164,"yyyy-mm")</x:f>
        <x:v>2026-09</x:v>
      </x:c>
    </x:row>
    <x:row r="165" ht="26" customHeight="1">
      <x:c r="A165" s="2" t="str">
        <x:v>O164</x:v>
      </x:c>
      <x:c r="B165" s="7" t="d">
        <x:v>2026-09-24T00:00:00.000Z</x:v>
      </x:c>
      <x:c r="C165" s="2" t="str">
        <x:v>Планер</x:v>
      </x:c>
      <x:c r="D165" s="2" t="str">
        <x:v>Соцсети</x:v>
      </x:c>
      <x:c r="E165" s="29" t="n">
        <x:v>1</x:v>
      </x:c>
      <x:c r="F165" s="8" t="n">
        <x:v>800</x:v>
      </x:c>
      <x:c r="G165" s="8" t="n">
        <x:v>24</x:v>
      </x:c>
      <x:c r="H165" s="8" t="n">
        <x:v>280</x:v>
      </x:c>
      <x:c r="I165" s="2" t="str">
        <x:v>оплачен</x:v>
      </x:c>
      <x:c r="J165" s="8" t="n">
        <x:f>IF(I165="оплачен",E165*F165-G165,0)</x:f>
        <x:v>776</x:v>
      </x:c>
      <x:c r="K165" s="8" t="n">
        <x:f>IF(I165="оплачен",E165*H165,0)</x:f>
        <x:v>280</x:v>
      </x:c>
      <x:c r="L165" s="8" t="n">
        <x:f>J165-K165</x:f>
        <x:v>496</x:v>
      </x:c>
      <x:c r="M165" s="2" t="str">
        <x:f>TEXT(B165,"yyyy-mm")</x:f>
        <x:v>2026-09</x:v>
      </x:c>
    </x:row>
    <x:row r="166" ht="26" customHeight="1">
      <x:c r="A166" s="2" t="str">
        <x:v>O165</x:v>
      </x:c>
      <x:c r="B166" s="7" t="d">
        <x:v>2026-09-25T00:00:00.000Z</x:v>
      </x:c>
      <x:c r="C166" s="2" t="str">
        <x:v>Термокружка</x:v>
      </x:c>
      <x:c r="D166" s="2" t="str">
        <x:v>Маркетплейс</x:v>
      </x:c>
      <x:c r="E166" s="29" t="n">
        <x:v>1</x:v>
      </x:c>
      <x:c r="F166" s="8" t="n">
        <x:v>1600</x:v>
      </x:c>
      <x:c r="G166" s="8" t="n">
        <x:v>192</x:v>
      </x:c>
      <x:c r="H166" s="8" t="n">
        <x:v>650</x:v>
      </x:c>
      <x:c r="I166" s="2" t="str">
        <x:v>оплачен</x:v>
      </x:c>
      <x:c r="J166" s="8" t="n">
        <x:f>IF(I166="оплачен",E166*F166-G166,0)</x:f>
        <x:v>1408</x:v>
      </x:c>
      <x:c r="K166" s="8" t="n">
        <x:f>IF(I166="оплачен",E166*H166,0)</x:f>
        <x:v>650</x:v>
      </x:c>
      <x:c r="L166" s="8" t="n">
        <x:f>J166-K166</x:f>
        <x:v>758</x:v>
      </x:c>
      <x:c r="M166" s="2" t="str">
        <x:f>TEXT(B166,"yyyy-mm")</x:f>
        <x:v>2026-09</x:v>
      </x:c>
    </x:row>
    <x:row r="167" ht="26" customHeight="1">
      <x:c r="A167" s="2" t="str">
        <x:v>O166</x:v>
      </x:c>
      <x:c r="B167" s="7" t="d">
        <x:v>2026-09-26T00:00:00.000Z</x:v>
      </x:c>
      <x:c r="C167" s="2" t="str">
        <x:v>Рюкзак</x:v>
      </x:c>
      <x:c r="D167" s="2" t="str">
        <x:v>Соцсети</x:v>
      </x:c>
      <x:c r="E167" s="29" t="n">
        <x:v>2</x:v>
      </x:c>
      <x:c r="F167" s="8" t="n">
        <x:v>3600</x:v>
      </x:c>
      <x:c r="G167" s="8" t="n">
        <x:v>216</x:v>
      </x:c>
      <x:c r="H167" s="8" t="n">
        <x:v>1900</x:v>
      </x:c>
      <x:c r="I167" s="2" t="str">
        <x:v>оплачен</x:v>
      </x:c>
      <x:c r="J167" s="8" t="n">
        <x:f>IF(I167="оплачен",E167*F167-G167,0)</x:f>
        <x:v>6984</x:v>
      </x:c>
      <x:c r="K167" s="8" t="n">
        <x:f>IF(I167="оплачен",E167*H167,0)</x:f>
        <x:v>3800</x:v>
      </x:c>
      <x:c r="L167" s="8" t="n">
        <x:f>J167-K167</x:f>
        <x:v>3184</x:v>
      </x:c>
      <x:c r="M167" s="2" t="str">
        <x:f>TEXT(B167,"yyyy-mm")</x:f>
        <x:v>2026-09</x:v>
      </x:c>
    </x:row>
    <x:row r="168" ht="26" customHeight="1">
      <x:c r="A168" s="2" t="str">
        <x:v>O167</x:v>
      </x:c>
      <x:c r="B168" s="7" t="d">
        <x:v>2026-09-27T00:00:00.000Z</x:v>
      </x:c>
      <x:c r="C168" s="2" t="str">
        <x:v>Термокружка</x:v>
      </x:c>
      <x:c r="D168" s="2" t="str">
        <x:v>Сайт</x:v>
      </x:c>
      <x:c r="E168" s="29" t="n">
        <x:v>1</x:v>
      </x:c>
      <x:c r="F168" s="8" t="n">
        <x:v>1600</x:v>
      </x:c>
      <x:c r="G168" s="8" t="n">
        <x:v>48</x:v>
      </x:c>
      <x:c r="H168" s="8" t="n">
        <x:v>650</x:v>
      </x:c>
      <x:c r="I168" s="2" t="str">
        <x:v>оплачен</x:v>
      </x:c>
      <x:c r="J168" s="8" t="n">
        <x:f>IF(I168="оплачен",E168*F168-G168,0)</x:f>
        <x:v>1552</x:v>
      </x:c>
      <x:c r="K168" s="8" t="n">
        <x:f>IF(I168="оплачен",E168*H168,0)</x:f>
        <x:v>650</x:v>
      </x:c>
      <x:c r="L168" s="8" t="n">
        <x:f>J168-K168</x:f>
        <x:v>902</x:v>
      </x:c>
      <x:c r="M168" s="2" t="str">
        <x:f>TEXT(B168,"yyyy-mm")</x:f>
        <x:v>2026-09</x:v>
      </x:c>
    </x:row>
    <x:row r="169" ht="26" customHeight="1">
      <x:c r="A169" s="2" t="str">
        <x:v>O168</x:v>
      </x:c>
      <x:c r="B169" s="7" t="d">
        <x:v>2026-09-28T00:00:00.000Z</x:v>
      </x:c>
      <x:c r="C169" s="2" t="str">
        <x:v>Рюкзак</x:v>
      </x:c>
      <x:c r="D169" s="2" t="str">
        <x:v>Сайт</x:v>
      </x:c>
      <x:c r="E169" s="29" t="n">
        <x:v>2</x:v>
      </x:c>
      <x:c r="F169" s="8" t="n">
        <x:v>3600</x:v>
      </x:c>
      <x:c r="G169" s="8" t="n">
        <x:v>216</x:v>
      </x:c>
      <x:c r="H169" s="8" t="n">
        <x:v>1900</x:v>
      </x:c>
      <x:c r="I169" s="2" t="str">
        <x:v>оплачен</x:v>
      </x:c>
      <x:c r="J169" s="8" t="n">
        <x:f>IF(I169="оплачен",E169*F169-G169,0)</x:f>
        <x:v>6984</x:v>
      </x:c>
      <x:c r="K169" s="8" t="n">
        <x:f>IF(I169="оплачен",E169*H169,0)</x:f>
        <x:v>3800</x:v>
      </x:c>
      <x:c r="L169" s="8" t="n">
        <x:f>J169-K169</x:f>
        <x:v>3184</x:v>
      </x:c>
      <x:c r="M169" s="2" t="str">
        <x:f>TEXT(B169,"yyyy-mm")</x:f>
        <x:v>2026-09</x:v>
      </x:c>
    </x:row>
    <x:row r="170" ht="26" customHeight="1">
      <x:c r="A170" s="2" t="str">
        <x:v>O169</x:v>
      </x:c>
      <x:c r="B170" s="7" t="d">
        <x:v>2026-09-01T00:00:00.000Z</x:v>
      </x:c>
      <x:c r="C170" s="2" t="str">
        <x:v>Настольная лампа</x:v>
      </x:c>
      <x:c r="D170" s="2" t="str">
        <x:v>Сайт</x:v>
      </x:c>
      <x:c r="E170" s="29" t="n">
        <x:v>1</x:v>
      </x:c>
      <x:c r="F170" s="8" t="n">
        <x:v>2900</x:v>
      </x:c>
      <x:c r="G170" s="8" t="n">
        <x:v>87</x:v>
      </x:c>
      <x:c r="H170" s="8" t="n">
        <x:v>1700</x:v>
      </x:c>
      <x:c r="I170" s="2" t="str">
        <x:v>оплачен</x:v>
      </x:c>
      <x:c r="J170" s="8" t="n">
        <x:f>IF(I170="оплачен",E170*F170-G170,0)</x:f>
        <x:v>2813</x:v>
      </x:c>
      <x:c r="K170" s="8" t="n">
        <x:f>IF(I170="оплачен",E170*H170,0)</x:f>
        <x:v>1700</x:v>
      </x:c>
      <x:c r="L170" s="8" t="n">
        <x:f>J170-K170</x:f>
        <x:v>1113</x:v>
      </x:c>
      <x:c r="M170" s="2" t="str">
        <x:f>TEXT(B170,"yyyy-mm")</x:f>
        <x:v>2026-09</x:v>
      </x:c>
    </x:row>
    <x:row r="171" ht="26" customHeight="1">
      <x:c r="A171" s="2" t="str">
        <x:v>O170</x:v>
      </x:c>
      <x:c r="B171" s="7" t="d">
        <x:v>2026-09-02T00:00:00.000Z</x:v>
      </x:c>
      <x:c r="C171" s="2" t="str">
        <x:v>Планер</x:v>
      </x:c>
      <x:c r="D171" s="2" t="str">
        <x:v>Маркетплейс</x:v>
      </x:c>
      <x:c r="E171" s="29" t="n">
        <x:v>1</x:v>
      </x:c>
      <x:c r="F171" s="8" t="n">
        <x:v>800</x:v>
      </x:c>
      <x:c r="G171" s="8" t="n">
        <x:v>96</x:v>
      </x:c>
      <x:c r="H171" s="8" t="n">
        <x:v>280</x:v>
      </x:c>
      <x:c r="I171" s="2" t="str">
        <x:v>отменён</x:v>
      </x:c>
      <x:c r="J171" s="8" t="n">
        <x:f>IF(I171="оплачен",E171*F171-G171,0)</x:f>
        <x:v>0</x:v>
      </x:c>
      <x:c r="K171" s="8" t="n">
        <x:f>IF(I171="оплачен",E171*H171,0)</x:f>
        <x:v>0</x:v>
      </x:c>
      <x:c r="L171" s="8" t="n">
        <x:f>J171-K171</x:f>
        <x:v>0</x:v>
      </x:c>
      <x:c r="M171" s="2" t="str">
        <x:f>TEXT(B171,"yyyy-mm")</x:f>
        <x:v>2026-09</x:v>
      </x:c>
    </x:row>
    <x:row r="172" ht="26" customHeight="1">
      <x:c r="A172" s="2" t="str">
        <x:v>O171</x:v>
      </x:c>
      <x:c r="B172" s="7" t="d">
        <x:v>2026-09-03T00:00:00.000Z</x:v>
      </x:c>
      <x:c r="C172" s="2" t="str">
        <x:v>Планер</x:v>
      </x:c>
      <x:c r="D172" s="2" t="str">
        <x:v>Соцсети</x:v>
      </x:c>
      <x:c r="E172" s="29" t="n">
        <x:v>2</x:v>
      </x:c>
      <x:c r="F172" s="8" t="n">
        <x:v>800</x:v>
      </x:c>
      <x:c r="G172" s="8" t="n">
        <x:v>48</x:v>
      </x:c>
      <x:c r="H172" s="8" t="n">
        <x:v>280</x:v>
      </x:c>
      <x:c r="I172" s="2" t="str">
        <x:v>возвращён</x:v>
      </x:c>
      <x:c r="J172" s="8" t="n">
        <x:f>IF(I172="оплачен",E172*F172-G172,0)</x:f>
        <x:v>0</x:v>
      </x:c>
      <x:c r="K172" s="8" t="n">
        <x:f>IF(I172="оплачен",E172*H172,0)</x:f>
        <x:v>0</x:v>
      </x:c>
      <x:c r="L172" s="8" t="n">
        <x:f>J172-K172</x:f>
        <x:v>0</x:v>
      </x:c>
      <x:c r="M172" s="2" t="str">
        <x:f>TEXT(B172,"yyyy-mm")</x:f>
        <x:v>2026-09</x:v>
      </x:c>
    </x:row>
    <x:row r="173" ht="26" customHeight="1">
      <x:c r="A173" s="2" t="str">
        <x:v>O172</x:v>
      </x:c>
      <x:c r="B173" s="7" t="d">
        <x:v>2026-09-04T00:00:00.000Z</x:v>
      </x:c>
      <x:c r="C173" s="2" t="str">
        <x:v>Настольная лампа</x:v>
      </x:c>
      <x:c r="D173" s="2" t="str">
        <x:v>Соцсети</x:v>
      </x:c>
      <x:c r="E173" s="29" t="n">
        <x:v>2</x:v>
      </x:c>
      <x:c r="F173" s="8" t="n">
        <x:v>2900</x:v>
      </x:c>
      <x:c r="G173" s="8" t="n">
        <x:v>174</x:v>
      </x:c>
      <x:c r="H173" s="8" t="n">
        <x:v>1700</x:v>
      </x:c>
      <x:c r="I173" s="2" t="str">
        <x:v>оплачен</x:v>
      </x:c>
      <x:c r="J173" s="8" t="n">
        <x:f>IF(I173="оплачен",E173*F173-G173,0)</x:f>
        <x:v>5626</x:v>
      </x:c>
      <x:c r="K173" s="8" t="n">
        <x:f>IF(I173="оплачен",E173*H173,0)</x:f>
        <x:v>3400</x:v>
      </x:c>
      <x:c r="L173" s="8" t="n">
        <x:f>J173-K173</x:f>
        <x:v>2226</x:v>
      </x:c>
      <x:c r="M173" s="2" t="str">
        <x:f>TEXT(B173,"yyyy-mm")</x:f>
        <x:v>2026-09</x:v>
      </x:c>
    </x:row>
    <x:row r="174" ht="26" customHeight="1">
      <x:c r="A174" s="2" t="str">
        <x:v>O173</x:v>
      </x:c>
      <x:c r="B174" s="7" t="d">
        <x:v>2026-09-05T00:00:00.000Z</x:v>
      </x:c>
      <x:c r="C174" s="2" t="str">
        <x:v>Термокружка</x:v>
      </x:c>
      <x:c r="D174" s="2" t="str">
        <x:v>Сайт</x:v>
      </x:c>
      <x:c r="E174" s="29" t="n">
        <x:v>1</x:v>
      </x:c>
      <x:c r="F174" s="8" t="n">
        <x:v>1600</x:v>
      </x:c>
      <x:c r="G174" s="8" t="n">
        <x:v>48</x:v>
      </x:c>
      <x:c r="H174" s="8" t="n">
        <x:v>650</x:v>
      </x:c>
      <x:c r="I174" s="2" t="str">
        <x:v>оплачен</x:v>
      </x:c>
      <x:c r="J174" s="8" t="n">
        <x:f>IF(I174="оплачен",E174*F174-G174,0)</x:f>
        <x:v>1552</x:v>
      </x:c>
      <x:c r="K174" s="8" t="n">
        <x:f>IF(I174="оплачен",E174*H174,0)</x:f>
        <x:v>650</x:v>
      </x:c>
      <x:c r="L174" s="8" t="n">
        <x:f>J174-K174</x:f>
        <x:v>902</x:v>
      </x:c>
      <x:c r="M174" s="2" t="str">
        <x:f>TEXT(B174,"yyyy-mm")</x:f>
        <x:v>2026-09</x:v>
      </x:c>
    </x:row>
    <x:row r="175" ht="26" customHeight="1">
      <x:c r="A175" s="2" t="str">
        <x:v>O174</x:v>
      </x:c>
      <x:c r="B175" s="7" t="d">
        <x:v>2026-09-06T00:00:00.000Z</x:v>
      </x:c>
      <x:c r="C175" s="2" t="str">
        <x:v>Планер</x:v>
      </x:c>
      <x:c r="D175" s="2" t="str">
        <x:v>Маркетплейс</x:v>
      </x:c>
      <x:c r="E175" s="29" t="n">
        <x:v>2</x:v>
      </x:c>
      <x:c r="F175" s="8" t="n">
        <x:v>800</x:v>
      </x:c>
      <x:c r="G175" s="8" t="n">
        <x:v>192</x:v>
      </x:c>
      <x:c r="H175" s="8" t="n">
        <x:v>280</x:v>
      </x:c>
      <x:c r="I175" s="2" t="str">
        <x:v>оплачен</x:v>
      </x:c>
      <x:c r="J175" s="8" t="n">
        <x:f>IF(I175="оплачен",E175*F175-G175,0)</x:f>
        <x:v>1408</x:v>
      </x:c>
      <x:c r="K175" s="8" t="n">
        <x:f>IF(I175="оплачен",E175*H175,0)</x:f>
        <x:v>560</x:v>
      </x:c>
      <x:c r="L175" s="8" t="n">
        <x:f>J175-K175</x:f>
        <x:v>848</x:v>
      </x:c>
      <x:c r="M175" s="2" t="str">
        <x:f>TEXT(B175,"yyyy-mm")</x:f>
        <x:v>2026-09</x:v>
      </x:c>
    </x:row>
    <x:row r="176" ht="26" customHeight="1">
      <x:c r="A176" s="2" t="str">
        <x:v>O175</x:v>
      </x:c>
      <x:c r="B176" s="7" t="d">
        <x:v>2026-09-07T00:00:00.000Z</x:v>
      </x:c>
      <x:c r="C176" s="2" t="str">
        <x:v>Настольная лампа</x:v>
      </x:c>
      <x:c r="D176" s="2" t="str">
        <x:v>Маркетплейс</x:v>
      </x:c>
      <x:c r="E176" s="29" t="n">
        <x:v>2</x:v>
      </x:c>
      <x:c r="F176" s="8" t="n">
        <x:v>2900</x:v>
      </x:c>
      <x:c r="G176" s="8" t="n">
        <x:v>696</x:v>
      </x:c>
      <x:c r="H176" s="8" t="n">
        <x:v>1700</x:v>
      </x:c>
      <x:c r="I176" s="2" t="str">
        <x:v>оплачен</x:v>
      </x:c>
      <x:c r="J176" s="8" t="n">
        <x:f>IF(I176="оплачен",E176*F176-G176,0)</x:f>
        <x:v>5104</x:v>
      </x:c>
      <x:c r="K176" s="8" t="n">
        <x:f>IF(I176="оплачен",E176*H176,0)</x:f>
        <x:v>3400</x:v>
      </x:c>
      <x:c r="L176" s="8" t="n">
        <x:f>J176-K176</x:f>
        <x:v>1704</x:v>
      </x:c>
      <x:c r="M176" s="2" t="str">
        <x:f>TEXT(B176,"yyyy-mm")</x:f>
        <x:v>2026-09</x:v>
      </x:c>
    </x:row>
    <x:row r="177" ht="26" customHeight="1">
      <x:c r="A177" s="2" t="str">
        <x:v>O176</x:v>
      </x:c>
      <x:c r="B177" s="7" t="d">
        <x:v>2026-09-08T00:00:00.000Z</x:v>
      </x:c>
      <x:c r="C177" s="2" t="str">
        <x:v>Настольная лампа</x:v>
      </x:c>
      <x:c r="D177" s="2" t="str">
        <x:v>Соцсети</x:v>
      </x:c>
      <x:c r="E177" s="29" t="n">
        <x:v>4</x:v>
      </x:c>
      <x:c r="F177" s="8" t="n">
        <x:v>2900</x:v>
      </x:c>
      <x:c r="G177" s="8" t="n">
        <x:v>348</x:v>
      </x:c>
      <x:c r="H177" s="8" t="n">
        <x:v>1700</x:v>
      </x:c>
      <x:c r="I177" s="2" t="str">
        <x:v>оплачен</x:v>
      </x:c>
      <x:c r="J177" s="8" t="n">
        <x:f>IF(I177="оплачен",E177*F177-G177,0)</x:f>
        <x:v>11252</x:v>
      </x:c>
      <x:c r="K177" s="8" t="n">
        <x:f>IF(I177="оплачен",E177*H177,0)</x:f>
        <x:v>6800</x:v>
      </x:c>
      <x:c r="L177" s="8" t="n">
        <x:f>J177-K177</x:f>
        <x:v>4452</x:v>
      </x:c>
      <x:c r="M177" s="2" t="str">
        <x:f>TEXT(B177,"yyyy-mm")</x:f>
        <x:v>2026-09</x:v>
      </x:c>
    </x:row>
    <x:row r="178" ht="26" customHeight="1">
      <x:c r="A178" s="2" t="str">
        <x:v>O177</x:v>
      </x:c>
      <x:c r="B178" s="7" t="d">
        <x:v>2026-09-09T00:00:00.000Z</x:v>
      </x:c>
      <x:c r="C178" s="2" t="str">
        <x:v>Термокружка</x:v>
      </x:c>
      <x:c r="D178" s="2" t="str">
        <x:v>Маркетплейс</x:v>
      </x:c>
      <x:c r="E178" s="29" t="n">
        <x:v>1</x:v>
      </x:c>
      <x:c r="F178" s="8" t="n">
        <x:v>1600</x:v>
      </x:c>
      <x:c r="G178" s="8" t="n">
        <x:v>192</x:v>
      </x:c>
      <x:c r="H178" s="8" t="n">
        <x:v>650</x:v>
      </x:c>
      <x:c r="I178" s="2" t="str">
        <x:v>оплачен</x:v>
      </x:c>
      <x:c r="J178" s="8" t="n">
        <x:f>IF(I178="оплачен",E178*F178-G178,0)</x:f>
        <x:v>1408</x:v>
      </x:c>
      <x:c r="K178" s="8" t="n">
        <x:f>IF(I178="оплачен",E178*H178,0)</x:f>
        <x:v>650</x:v>
      </x:c>
      <x:c r="L178" s="8" t="n">
        <x:f>J178-K178</x:f>
        <x:v>758</x:v>
      </x:c>
      <x:c r="M178" s="2" t="str">
        <x:f>TEXT(B178,"yyyy-mm")</x:f>
        <x:v>2026-09</x:v>
      </x:c>
    </x:row>
    <x:row r="179" ht="26" customHeight="1">
      <x:c r="A179" s="2" t="str">
        <x:v>O178</x:v>
      </x:c>
      <x:c r="B179" s="7" t="d">
        <x:v>2026-09-10T00:00:00.000Z</x:v>
      </x:c>
      <x:c r="C179" s="2" t="str">
        <x:v>Рюкзак</x:v>
      </x:c>
      <x:c r="D179" s="2" t="str">
        <x:v>Маркетплейс</x:v>
      </x:c>
      <x:c r="E179" s="29" t="n">
        <x:v>3</x:v>
      </x:c>
      <x:c r="F179" s="8" t="n">
        <x:v>3600</x:v>
      </x:c>
      <x:c r="G179" s="8" t="n">
        <x:v>1296</x:v>
      </x:c>
      <x:c r="H179" s="8" t="n">
        <x:v>1900</x:v>
      </x:c>
      <x:c r="I179" s="2" t="str">
        <x:v>оплачен</x:v>
      </x:c>
      <x:c r="J179" s="8" t="n">
        <x:f>IF(I179="оплачен",E179*F179-G179,0)</x:f>
        <x:v>9504</x:v>
      </x:c>
      <x:c r="K179" s="8" t="n">
        <x:f>IF(I179="оплачен",E179*H179,0)</x:f>
        <x:v>5700</x:v>
      </x:c>
      <x:c r="L179" s="8" t="n">
        <x:f>J179-K179</x:f>
        <x:v>3804</x:v>
      </x:c>
      <x:c r="M179" s="2" t="str">
        <x:f>TEXT(B179,"yyyy-mm")</x:f>
        <x:v>2026-09</x:v>
      </x:c>
    </x:row>
    <x:row r="180" ht="26" customHeight="1">
      <x:c r="A180" s="2" t="str">
        <x:v>O179</x:v>
      </x:c>
      <x:c r="B180" s="7" t="d">
        <x:v>2026-09-11T00:00:00.000Z</x:v>
      </x:c>
      <x:c r="C180" s="2" t="str">
        <x:v>Настольная лампа</x:v>
      </x:c>
      <x:c r="D180" s="2" t="str">
        <x:v>Соцсети</x:v>
      </x:c>
      <x:c r="E180" s="29" t="n">
        <x:v>1</x:v>
      </x:c>
      <x:c r="F180" s="8" t="n">
        <x:v>2900</x:v>
      </x:c>
      <x:c r="G180" s="8" t="n">
        <x:v>87</x:v>
      </x:c>
      <x:c r="H180" s="8" t="n">
        <x:v>1700</x:v>
      </x:c>
      <x:c r="I180" s="2" t="str">
        <x:v>оплачен</x:v>
      </x:c>
      <x:c r="J180" s="8" t="n">
        <x:f>IF(I180="оплачен",E180*F180-G180,0)</x:f>
        <x:v>2813</x:v>
      </x:c>
      <x:c r="K180" s="8" t="n">
        <x:f>IF(I180="оплачен",E180*H180,0)</x:f>
        <x:v>1700</x:v>
      </x:c>
      <x:c r="L180" s="8" t="n">
        <x:f>J180-K180</x:f>
        <x:v>1113</x:v>
      </x:c>
      <x:c r="M180" s="2" t="str">
        <x:f>TEXT(B180,"yyyy-mm")</x:f>
        <x:v>2026-09</x:v>
      </x:c>
    </x:row>
    <x:row r="181" ht="26" customHeight="1">
      <x:c r="A181" s="2" t="str">
        <x:v>O180</x:v>
      </x:c>
      <x:c r="B181" s="7" t="d">
        <x:v>2026-09-12T00:00:00.000Z</x:v>
      </x:c>
      <x:c r="C181" s="2" t="str">
        <x:v>Рюкзак</x:v>
      </x:c>
      <x:c r="D181" s="2" t="str">
        <x:v>Сайт</x:v>
      </x:c>
      <x:c r="E181" s="29" t="n">
        <x:v>4</x:v>
      </x:c>
      <x:c r="F181" s="8" t="n">
        <x:v>3600</x:v>
      </x:c>
      <x:c r="G181" s="8" t="n">
        <x:v>432</x:v>
      </x:c>
      <x:c r="H181" s="8" t="n">
        <x:v>1900</x:v>
      </x:c>
      <x:c r="I181" s="2" t="str">
        <x:v>оплачен</x:v>
      </x:c>
      <x:c r="J181" s="8" t="n">
        <x:f>IF(I181="оплачен",E181*F181-G181,0)</x:f>
        <x:v>13968</x:v>
      </x:c>
      <x:c r="K181" s="8" t="n">
        <x:f>IF(I181="оплачен",E181*H181,0)</x:f>
        <x:v>7600</x:v>
      </x:c>
      <x:c r="L181" s="8" t="n">
        <x:f>J181-K181</x:f>
        <x:v>6368</x:v>
      </x:c>
      <x:c r="M181" s="2" t="str">
        <x:f>TEXT(B181,"yyyy-mm")</x:f>
        <x:v>2026-09</x:v>
      </x:c>
    </x:row>
    <x:row r="182" ht="26" customHeight="1">
      <x:c r="A182" s="2" t="str">
        <x:v>O181</x:v>
      </x:c>
      <x:c r="B182" s="7" t="d">
        <x:v>2026-09-13T00:00:00.000Z</x:v>
      </x:c>
      <x:c r="C182" s="2" t="str">
        <x:v>Термокружка</x:v>
      </x:c>
      <x:c r="D182" s="2" t="str">
        <x:v>Маркетплейс</x:v>
      </x:c>
      <x:c r="E182" s="29" t="n">
        <x:v>4</x:v>
      </x:c>
      <x:c r="F182" s="8" t="n">
        <x:v>1600</x:v>
      </x:c>
      <x:c r="G182" s="8" t="n">
        <x:v>768</x:v>
      </x:c>
      <x:c r="H182" s="8" t="n">
        <x:v>650</x:v>
      </x:c>
      <x:c r="I182" s="2" t="str">
        <x:v>оплачен</x:v>
      </x:c>
      <x:c r="J182" s="8" t="n">
        <x:f>IF(I182="оплачен",E182*F182-G182,0)</x:f>
        <x:v>5632</x:v>
      </x:c>
      <x:c r="K182" s="8" t="n">
        <x:f>IF(I182="оплачен",E182*H182,0)</x:f>
        <x:v>2600</x:v>
      </x:c>
      <x:c r="L182" s="8" t="n">
        <x:f>J182-K182</x:f>
        <x:v>3032</x:v>
      </x:c>
      <x:c r="M182" s="2" t="str">
        <x:f>TEXT(B182,"yyyy-mm")</x:f>
        <x:v>2026-09</x:v>
      </x:c>
    </x:row>
    <x:row r="183" ht="26" customHeight="1">
      <x:c r="A183" s="2" t="str">
        <x:v>O182</x:v>
      </x:c>
      <x:c r="B183" s="7" t="d">
        <x:v>2026-09-14T00:00:00.000Z</x:v>
      </x:c>
      <x:c r="C183" s="2" t="str">
        <x:v>Рюкзак</x:v>
      </x:c>
      <x:c r="D183" s="2" t="str">
        <x:v>Соцсети</x:v>
      </x:c>
      <x:c r="E183" s="29" t="n">
        <x:v>1</x:v>
      </x:c>
      <x:c r="F183" s="8" t="n">
        <x:v>3600</x:v>
      </x:c>
      <x:c r="G183" s="8" t="n">
        <x:v>108</x:v>
      </x:c>
      <x:c r="H183" s="8" t="n">
        <x:v>1900</x:v>
      </x:c>
      <x:c r="I183" s="2" t="str">
        <x:v>оплачен</x:v>
      </x:c>
      <x:c r="J183" s="8" t="n">
        <x:f>IF(I183="оплачен",E183*F183-G183,0)</x:f>
        <x:v>3492</x:v>
      </x:c>
      <x:c r="K183" s="8" t="n">
        <x:f>IF(I183="оплачен",E183*H183,0)</x:f>
        <x:v>1900</x:v>
      </x:c>
      <x:c r="L183" s="8" t="n">
        <x:f>J183-K183</x:f>
        <x:v>1592</x:v>
      </x:c>
      <x:c r="M183" s="2" t="str">
        <x:f>TEXT(B183,"yyyy-mm")</x:f>
        <x:v>2026-09</x:v>
      </x:c>
    </x:row>
    <x:row r="184" ht="26" customHeight="1">
      <x:c r="A184" s="2" t="str">
        <x:v>O183</x:v>
      </x:c>
      <x:c r="B184" s="7" t="d">
        <x:v>2026-09-15T00:00:00.000Z</x:v>
      </x:c>
      <x:c r="C184" s="2" t="str">
        <x:v>Рюкзак</x:v>
      </x:c>
      <x:c r="D184" s="2" t="str">
        <x:v>Соцсети</x:v>
      </x:c>
      <x:c r="E184" s="29" t="n">
        <x:v>4</x:v>
      </x:c>
      <x:c r="F184" s="8" t="n">
        <x:v>3600</x:v>
      </x:c>
      <x:c r="G184" s="8" t="n">
        <x:v>432</x:v>
      </x:c>
      <x:c r="H184" s="8" t="n">
        <x:v>1900</x:v>
      </x:c>
      <x:c r="I184" s="2" t="str">
        <x:v>отменён</x:v>
      </x:c>
      <x:c r="J184" s="8" t="n">
        <x:f>IF(I184="оплачен",E184*F184-G184,0)</x:f>
        <x:v>0</x:v>
      </x:c>
      <x:c r="K184" s="8" t="n">
        <x:f>IF(I184="оплачен",E184*H184,0)</x:f>
        <x:v>0</x:v>
      </x:c>
      <x:c r="L184" s="8" t="n">
        <x:f>J184-K184</x:f>
        <x:v>0</x:v>
      </x:c>
      <x:c r="M184" s="2" t="str">
        <x:f>TEXT(B184,"yyyy-mm")</x:f>
        <x:v>2026-09</x:v>
      </x:c>
    </x:row>
    <x:row r="185" ht="26" customHeight="1">
      <x:c r="A185" s="2" t="str">
        <x:v>O184</x:v>
      </x:c>
      <x:c r="B185" s="7" t="d">
        <x:v>2026-09-16T00:00:00.000Z</x:v>
      </x:c>
      <x:c r="C185" s="2" t="str">
        <x:v>Настольная лампа</x:v>
      </x:c>
      <x:c r="D185" s="2" t="str">
        <x:v>Маркетплейс</x:v>
      </x:c>
      <x:c r="E185" s="29" t="n">
        <x:v>3</x:v>
      </x:c>
      <x:c r="F185" s="8" t="n">
        <x:v>2900</x:v>
      </x:c>
      <x:c r="G185" s="8" t="n">
        <x:v>1044</x:v>
      </x:c>
      <x:c r="H185" s="8" t="n">
        <x:v>1700</x:v>
      </x:c>
      <x:c r="I185" s="2" t="str">
        <x:v>оплачен</x:v>
      </x:c>
      <x:c r="J185" s="8" t="n">
        <x:f>IF(I185="оплачен",E185*F185-G185,0)</x:f>
        <x:v>7656</x:v>
      </x:c>
      <x:c r="K185" s="8" t="n">
        <x:f>IF(I185="оплачен",E185*H185,0)</x:f>
        <x:v>5100</x:v>
      </x:c>
      <x:c r="L185" s="8" t="n">
        <x:f>J185-K185</x:f>
        <x:v>2556</x:v>
      </x:c>
      <x:c r="M185" s="2" t="str">
        <x:f>TEXT(B185,"yyyy-mm")</x:f>
        <x:v>2026-09</x:v>
      </x:c>
    </x:row>
    <x:row r="186" ht="26" customHeight="1">
      <x:c r="A186" s="2" t="str">
        <x:v>O185</x:v>
      </x:c>
      <x:c r="B186" s="7" t="d">
        <x:v>2026-09-17T00:00:00.000Z</x:v>
      </x:c>
      <x:c r="C186" s="2" t="str">
        <x:v>Настольная лампа</x:v>
      </x:c>
      <x:c r="D186" s="2" t="str">
        <x:v>Маркетплейс</x:v>
      </x:c>
      <x:c r="E186" s="29" t="n">
        <x:v>4</x:v>
      </x:c>
      <x:c r="F186" s="8" t="n">
        <x:v>2900</x:v>
      </x:c>
      <x:c r="G186" s="8" t="n">
        <x:v>1392</x:v>
      </x:c>
      <x:c r="H186" s="8" t="n">
        <x:v>1700</x:v>
      </x:c>
      <x:c r="I186" s="2" t="str">
        <x:v>оплачен</x:v>
      </x:c>
      <x:c r="J186" s="8" t="n">
        <x:f>IF(I186="оплачен",E186*F186-G186,0)</x:f>
        <x:v>10208</x:v>
      </x:c>
      <x:c r="K186" s="8" t="n">
        <x:f>IF(I186="оплачен",E186*H186,0)</x:f>
        <x:v>6800</x:v>
      </x:c>
      <x:c r="L186" s="8" t="n">
        <x:f>J186-K186</x:f>
        <x:v>3408</x:v>
      </x:c>
      <x:c r="M186" s="2" t="str">
        <x:f>TEXT(B186,"yyyy-mm")</x:f>
        <x:v>2026-09</x:v>
      </x:c>
    </x:row>
    <x:row r="187" ht="26" customHeight="1">
      <x:c r="A187" s="2" t="str">
        <x:v>O186</x:v>
      </x:c>
      <x:c r="B187" s="7" t="d">
        <x:v>2026-09-18T00:00:00.000Z</x:v>
      </x:c>
      <x:c r="C187" s="2" t="str">
        <x:v>Планер</x:v>
      </x:c>
      <x:c r="D187" s="2" t="str">
        <x:v>Маркетплейс</x:v>
      </x:c>
      <x:c r="E187" s="29" t="n">
        <x:v>1</x:v>
      </x:c>
      <x:c r="F187" s="8" t="n">
        <x:v>800</x:v>
      </x:c>
      <x:c r="G187" s="8" t="n">
        <x:v>96</x:v>
      </x:c>
      <x:c r="H187" s="8" t="n">
        <x:v>280</x:v>
      </x:c>
      <x:c r="I187" s="2" t="str">
        <x:v>оплачен</x:v>
      </x:c>
      <x:c r="J187" s="8" t="n">
        <x:f>IF(I187="оплачен",E187*F187-G187,0)</x:f>
        <x:v>704</x:v>
      </x:c>
      <x:c r="K187" s="8" t="n">
        <x:f>IF(I187="оплачен",E187*H187,0)</x:f>
        <x:v>280</x:v>
      </x:c>
      <x:c r="L187" s="8" t="n">
        <x:f>J187-K187</x:f>
        <x:v>424</x:v>
      </x:c>
      <x:c r="M187" s="2" t="str">
        <x:f>TEXT(B187,"yyyy-mm")</x:f>
        <x:v>2026-09</x:v>
      </x:c>
    </x:row>
    <x:row r="188" ht="26" customHeight="1">
      <x:c r="A188" s="2" t="str">
        <x:v>O187</x:v>
      </x:c>
      <x:c r="B188" s="7" t="d">
        <x:v>2026-09-19T00:00:00.000Z</x:v>
      </x:c>
      <x:c r="C188" s="2" t="str">
        <x:v>Термокружка</x:v>
      </x:c>
      <x:c r="D188" s="2" t="str">
        <x:v>Сайт</x:v>
      </x:c>
      <x:c r="E188" s="29" t="n">
        <x:v>2</x:v>
      </x:c>
      <x:c r="F188" s="8" t="n">
        <x:v>1600</x:v>
      </x:c>
      <x:c r="G188" s="8" t="n">
        <x:v>96</x:v>
      </x:c>
      <x:c r="H188" s="8" t="n">
        <x:v>650</x:v>
      </x:c>
      <x:c r="I188" s="2" t="str">
        <x:v>оплачен</x:v>
      </x:c>
      <x:c r="J188" s="8" t="n">
        <x:f>IF(I188="оплачен",E188*F188-G188,0)</x:f>
        <x:v>3104</x:v>
      </x:c>
      <x:c r="K188" s="8" t="n">
        <x:f>IF(I188="оплачен",E188*H188,0)</x:f>
        <x:v>1300</x:v>
      </x:c>
      <x:c r="L188" s="8" t="n">
        <x:f>J188-K188</x:f>
        <x:v>1804</x:v>
      </x:c>
      <x:c r="M188" s="2" t="str">
        <x:f>TEXT(B188,"yyyy-mm")</x:f>
        <x:v>2026-09</x:v>
      </x:c>
    </x:row>
    <x:row r="189" ht="26" customHeight="1">
      <x:c r="A189" s="2" t="str">
        <x:v>O188</x:v>
      </x:c>
      <x:c r="B189" s="7" t="d">
        <x:v>2026-09-20T00:00:00.000Z</x:v>
      </x:c>
      <x:c r="C189" s="2" t="str">
        <x:v>Термокружка</x:v>
      </x:c>
      <x:c r="D189" s="2" t="str">
        <x:v>Соцсети</x:v>
      </x:c>
      <x:c r="E189" s="29" t="n">
        <x:v>1</x:v>
      </x:c>
      <x:c r="F189" s="8" t="n">
        <x:v>1600</x:v>
      </x:c>
      <x:c r="G189" s="8" t="n">
        <x:v>48</x:v>
      </x:c>
      <x:c r="H189" s="8" t="n">
        <x:v>650</x:v>
      </x:c>
      <x:c r="I189" s="2" t="str">
        <x:v>возвращён</x:v>
      </x:c>
      <x:c r="J189" s="8" t="n">
        <x:f>IF(I189="оплачен",E189*F189-G189,0)</x:f>
        <x:v>0</x:v>
      </x:c>
      <x:c r="K189" s="8" t="n">
        <x:f>IF(I189="оплачен",E189*H189,0)</x:f>
        <x:v>0</x:v>
      </x:c>
      <x:c r="L189" s="8" t="n">
        <x:f>J189-K189</x:f>
        <x:v>0</x:v>
      </x:c>
      <x:c r="M189" s="2" t="str">
        <x:f>TEXT(B189,"yyyy-mm")</x:f>
        <x:v>2026-09</x:v>
      </x:c>
    </x:row>
    <x:row r="190" ht="26" customHeight="1">
      <x:c r="A190" s="2" t="str">
        <x:v>O189</x:v>
      </x:c>
      <x:c r="B190" s="7" t="d">
        <x:v>2026-09-21T00:00:00.000Z</x:v>
      </x:c>
      <x:c r="C190" s="2" t="str">
        <x:v>Термокружка</x:v>
      </x:c>
      <x:c r="D190" s="2" t="str">
        <x:v>Маркетплейс</x:v>
      </x:c>
      <x:c r="E190" s="29" t="n">
        <x:v>3</x:v>
      </x:c>
      <x:c r="F190" s="8" t="n">
        <x:v>1600</x:v>
      </x:c>
      <x:c r="G190" s="8" t="n">
        <x:v>576</x:v>
      </x:c>
      <x:c r="H190" s="8" t="n">
        <x:v>650</x:v>
      </x:c>
      <x:c r="I190" s="2" t="str">
        <x:v>оплачен</x:v>
      </x:c>
      <x:c r="J190" s="8" t="n">
        <x:f>IF(I190="оплачен",E190*F190-G190,0)</x:f>
        <x:v>4224</x:v>
      </x:c>
      <x:c r="K190" s="8" t="n">
        <x:f>IF(I190="оплачен",E190*H190,0)</x:f>
        <x:v>1950</x:v>
      </x:c>
      <x:c r="L190" s="8" t="n">
        <x:f>J190-K190</x:f>
        <x:v>2274</x:v>
      </x:c>
      <x:c r="M190" s="2" t="str">
        <x:f>TEXT(B190,"yyyy-mm")</x:f>
        <x:v>2026-09</x:v>
      </x:c>
    </x:row>
    <x:row r="191" ht="26" customHeight="1">
      <x:c r="A191" s="2" t="str">
        <x:v>O190</x:v>
      </x:c>
      <x:c r="B191" s="7" t="d">
        <x:v>2026-09-22T00:00:00.000Z</x:v>
      </x:c>
      <x:c r="C191" s="2" t="str">
        <x:v>Термокружка</x:v>
      </x:c>
      <x:c r="D191" s="2" t="str">
        <x:v>Сайт</x:v>
      </x:c>
      <x:c r="E191" s="29" t="n">
        <x:v>4</x:v>
      </x:c>
      <x:c r="F191" s="8" t="n">
        <x:v>1600</x:v>
      </x:c>
      <x:c r="G191" s="8" t="n">
        <x:v>192</x:v>
      </x:c>
      <x:c r="H191" s="8" t="n">
        <x:v>650</x:v>
      </x:c>
      <x:c r="I191" s="2" t="str">
        <x:v>оплачен</x:v>
      </x:c>
      <x:c r="J191" s="8" t="n">
        <x:f>IF(I191="оплачен",E191*F191-G191,0)</x:f>
        <x:v>6208</x:v>
      </x:c>
      <x:c r="K191" s="8" t="n">
        <x:f>IF(I191="оплачен",E191*H191,0)</x:f>
        <x:v>2600</x:v>
      </x:c>
      <x:c r="L191" s="8" t="n">
        <x:f>J191-K191</x:f>
        <x:v>3608</x:v>
      </x:c>
      <x:c r="M191" s="2" t="str">
        <x:f>TEXT(B191,"yyyy-mm")</x:f>
        <x:v>2026-09</x:v>
      </x:c>
    </x:row>
    <x:row r="192" ht="26" customHeight="1">
      <x:c r="A192" s="2" t="str">
        <x:v>O191</x:v>
      </x:c>
      <x:c r="B192" s="7" t="d">
        <x:v>2026-09-23T00:00:00.000Z</x:v>
      </x:c>
      <x:c r="C192" s="2" t="str">
        <x:v>Планер</x:v>
      </x:c>
      <x:c r="D192" s="2" t="str">
        <x:v>Маркетплейс</x:v>
      </x:c>
      <x:c r="E192" s="29" t="n">
        <x:v>3</x:v>
      </x:c>
      <x:c r="F192" s="8" t="n">
        <x:v>800</x:v>
      </x:c>
      <x:c r="G192" s="8" t="n">
        <x:v>288</x:v>
      </x:c>
      <x:c r="H192" s="8" t="n">
        <x:v>280</x:v>
      </x:c>
      <x:c r="I192" s="2" t="str">
        <x:v>оплачен</x:v>
      </x:c>
      <x:c r="J192" s="8" t="n">
        <x:f>IF(I192="оплачен",E192*F192-G192,0)</x:f>
        <x:v>2112</x:v>
      </x:c>
      <x:c r="K192" s="8" t="n">
        <x:f>IF(I192="оплачен",E192*H192,0)</x:f>
        <x:v>840</x:v>
      </x:c>
      <x:c r="L192" s="8" t="n">
        <x:f>J192-K192</x:f>
        <x:v>1272</x:v>
      </x:c>
      <x:c r="M192" s="2" t="str">
        <x:f>TEXT(B192,"yyyy-mm")</x:f>
        <x:v>2026-09</x:v>
      </x:c>
    </x:row>
    <x:row r="193" ht="26" customHeight="1">
      <x:c r="A193" s="2" t="str">
        <x:v>O192</x:v>
      </x:c>
      <x:c r="B193" s="7" t="d">
        <x:v>2026-09-24T00:00:00.000Z</x:v>
      </x:c>
      <x:c r="C193" s="2" t="str">
        <x:v>Рюкзак</x:v>
      </x:c>
      <x:c r="D193" s="2" t="str">
        <x:v>Соцсети</x:v>
      </x:c>
      <x:c r="E193" s="29" t="n">
        <x:v>3</x:v>
      </x:c>
      <x:c r="F193" s="8" t="n">
        <x:v>3600</x:v>
      </x:c>
      <x:c r="G193" s="8" t="n">
        <x:v>324</x:v>
      </x:c>
      <x:c r="H193" s="8" t="n">
        <x:v>1900</x:v>
      </x:c>
      <x:c r="I193" s="2" t="str">
        <x:v>оплачен</x:v>
      </x:c>
      <x:c r="J193" s="8" t="n">
        <x:f>IF(I193="оплачен",E193*F193-G193,0)</x:f>
        <x:v>10476</x:v>
      </x:c>
      <x:c r="K193" s="8" t="n">
        <x:f>IF(I193="оплачен",E193*H193,0)</x:f>
        <x:v>5700</x:v>
      </x:c>
      <x:c r="L193" s="8" t="n">
        <x:f>J193-K193</x:f>
        <x:v>4776</x:v>
      </x:c>
      <x:c r="M193" s="2" t="str">
        <x:f>TEXT(B193,"yyyy-mm")</x:f>
        <x:v>2026-09</x:v>
      </x:c>
    </x:row>
    <x:row r="194" ht="26" customHeight="1">
      <x:c r="A194" s="2" t="str">
        <x:v>O193</x:v>
      </x:c>
      <x:c r="B194" s="7" t="d">
        <x:v>2026-09-25T00:00:00.000Z</x:v>
      </x:c>
      <x:c r="C194" s="2" t="str">
        <x:v>Рюкзак</x:v>
      </x:c>
      <x:c r="D194" s="2" t="str">
        <x:v>Маркетплейс</x:v>
      </x:c>
      <x:c r="E194" s="29" t="n">
        <x:v>1</x:v>
      </x:c>
      <x:c r="F194" s="8" t="n">
        <x:v>3600</x:v>
      </x:c>
      <x:c r="G194" s="8" t="n">
        <x:v>432</x:v>
      </x:c>
      <x:c r="H194" s="8" t="n">
        <x:v>1900</x:v>
      </x:c>
      <x:c r="I194" s="2" t="str">
        <x:v>оплачен</x:v>
      </x:c>
      <x:c r="J194" s="8" t="n">
        <x:f>IF(I194="оплачен",E194*F194-G194,0)</x:f>
        <x:v>3168</x:v>
      </x:c>
      <x:c r="K194" s="8" t="n">
        <x:f>IF(I194="оплачен",E194*H194,0)</x:f>
        <x:v>1900</x:v>
      </x:c>
      <x:c r="L194" s="8" t="n">
        <x:f>J194-K194</x:f>
        <x:v>1268</x:v>
      </x:c>
      <x:c r="M194" s="2" t="str">
        <x:f>TEXT(B194,"yyyy-mm")</x:f>
        <x:v>2026-09</x:v>
      </x:c>
    </x:row>
    <x:row r="195" ht="26" customHeight="1">
      <x:c r="A195" s="2" t="str">
        <x:v>O194</x:v>
      </x:c>
      <x:c r="B195" s="7" t="d">
        <x:v>2026-09-26T00:00:00.000Z</x:v>
      </x:c>
      <x:c r="C195" s="2" t="str">
        <x:v>Термокружка</x:v>
      </x:c>
      <x:c r="D195" s="2" t="str">
        <x:v>Соцсети</x:v>
      </x:c>
      <x:c r="E195" s="29" t="n">
        <x:v>2</x:v>
      </x:c>
      <x:c r="F195" s="8" t="n">
        <x:v>1600</x:v>
      </x:c>
      <x:c r="G195" s="8" t="n">
        <x:v>96</x:v>
      </x:c>
      <x:c r="H195" s="8" t="n">
        <x:v>650</x:v>
      </x:c>
      <x:c r="I195" s="2" t="str">
        <x:v>оплачен</x:v>
      </x:c>
      <x:c r="J195" s="8" t="n">
        <x:f>IF(I195="оплачен",E195*F195-G195,0)</x:f>
        <x:v>3104</x:v>
      </x:c>
      <x:c r="K195" s="8" t="n">
        <x:f>IF(I195="оплачен",E195*H195,0)</x:f>
        <x:v>1300</x:v>
      </x:c>
      <x:c r="L195" s="8" t="n">
        <x:f>J195-K195</x:f>
        <x:v>1804</x:v>
      </x:c>
      <x:c r="M195" s="2" t="str">
        <x:f>TEXT(B195,"yyyy-mm")</x:f>
        <x:v>2026-09</x:v>
      </x:c>
    </x:row>
    <x:row r="196" ht="26" customHeight="1">
      <x:c r="A196" s="2" t="str">
        <x:v>O195</x:v>
      </x:c>
      <x:c r="B196" s="7" t="d">
        <x:v>2026-09-27T00:00:00.000Z</x:v>
      </x:c>
      <x:c r="C196" s="2" t="str">
        <x:v>Настольная лампа</x:v>
      </x:c>
      <x:c r="D196" s="2" t="str">
        <x:v>Сайт</x:v>
      </x:c>
      <x:c r="E196" s="29" t="n">
        <x:v>4</x:v>
      </x:c>
      <x:c r="F196" s="8" t="n">
        <x:v>2900</x:v>
      </x:c>
      <x:c r="G196" s="8" t="n">
        <x:v>348</x:v>
      </x:c>
      <x:c r="H196" s="8" t="n">
        <x:v>1700</x:v>
      </x:c>
      <x:c r="I196" s="2" t="str">
        <x:v>оплачен</x:v>
      </x:c>
      <x:c r="J196" s="8" t="n">
        <x:f>IF(I196="оплачен",E196*F196-G196,0)</x:f>
        <x:v>11252</x:v>
      </x:c>
      <x:c r="K196" s="8" t="n">
        <x:f>IF(I196="оплачен",E196*H196,0)</x:f>
        <x:v>6800</x:v>
      </x:c>
      <x:c r="L196" s="8" t="n">
        <x:f>J196-K196</x:f>
        <x:v>4452</x:v>
      </x:c>
      <x:c r="M196" s="2" t="str">
        <x:f>TEXT(B196,"yyyy-mm")</x:f>
        <x:v>2026-09</x:v>
      </x:c>
    </x:row>
    <x:row r="197" ht="26" customHeight="1">
      <x:c r="A197" s="2" t="str">
        <x:v>O196</x:v>
      </x:c>
      <x:c r="B197" s="7" t="d">
        <x:v>2026-09-28T00:00:00.000Z</x:v>
      </x:c>
      <x:c r="C197" s="2" t="str">
        <x:v>Планер</x:v>
      </x:c>
      <x:c r="D197" s="2" t="str">
        <x:v>Маркетплейс</x:v>
      </x:c>
      <x:c r="E197" s="29" t="n">
        <x:v>4</x:v>
      </x:c>
      <x:c r="F197" s="8" t="n">
        <x:v>800</x:v>
      </x:c>
      <x:c r="G197" s="8" t="n">
        <x:v>384</x:v>
      </x:c>
      <x:c r="H197" s="8" t="n">
        <x:v>280</x:v>
      </x:c>
      <x:c r="I197" s="2" t="str">
        <x:v>отменён</x:v>
      </x:c>
      <x:c r="J197" s="8" t="n">
        <x:f>IF(I197="оплачен",E197*F197-G197,0)</x:f>
        <x:v>0</x:v>
      </x:c>
      <x:c r="K197" s="8" t="n">
        <x:f>IF(I197="оплачен",E197*H197,0)</x:f>
        <x:v>0</x:v>
      </x:c>
      <x:c r="L197" s="8" t="n">
        <x:f>J197-K197</x:f>
        <x:v>0</x:v>
      </x:c>
      <x:c r="M197" s="2" t="str">
        <x:f>TEXT(B197,"yyyy-mm")</x:f>
        <x:v>2026-09</x:v>
      </x:c>
    </x:row>
    <x:row r="198" ht="26" customHeight="1">
      <x:c r="A198" s="2" t="str">
        <x:v>O197</x:v>
      </x:c>
      <x:c r="B198" s="7" t="d">
        <x:v>2026-09-01T00:00:00.000Z</x:v>
      </x:c>
      <x:c r="C198" s="2" t="str">
        <x:v>Настольная лампа</x:v>
      </x:c>
      <x:c r="D198" s="2" t="str">
        <x:v>Соцсети</x:v>
      </x:c>
      <x:c r="E198" s="29" t="n">
        <x:v>4</x:v>
      </x:c>
      <x:c r="F198" s="8" t="n">
        <x:v>2900</x:v>
      </x:c>
      <x:c r="G198" s="8" t="n">
        <x:v>348</x:v>
      </x:c>
      <x:c r="H198" s="8" t="n">
        <x:v>1700</x:v>
      </x:c>
      <x:c r="I198" s="2" t="str">
        <x:v>оплачен</x:v>
      </x:c>
      <x:c r="J198" s="8" t="n">
        <x:f>IF(I198="оплачен",E198*F198-G198,0)</x:f>
        <x:v>11252</x:v>
      </x:c>
      <x:c r="K198" s="8" t="n">
        <x:f>IF(I198="оплачен",E198*H198,0)</x:f>
        <x:v>6800</x:v>
      </x:c>
      <x:c r="L198" s="8" t="n">
        <x:f>J198-K198</x:f>
        <x:v>4452</x:v>
      </x:c>
      <x:c r="M198" s="2" t="str">
        <x:f>TEXT(B198,"yyyy-mm")</x:f>
        <x:v>2026-09</x:v>
      </x:c>
    </x:row>
    <x:row r="199" ht="26" customHeight="1">
      <x:c r="A199" s="2" t="str">
        <x:v>O198</x:v>
      </x:c>
      <x:c r="B199" s="7" t="d">
        <x:v>2026-09-02T00:00:00.000Z</x:v>
      </x:c>
      <x:c r="C199" s="2" t="str">
        <x:v>Термокружка</x:v>
      </x:c>
      <x:c r="D199" s="2" t="str">
        <x:v>Маркетплейс</x:v>
      </x:c>
      <x:c r="E199" s="29" t="n">
        <x:v>1</x:v>
      </x:c>
      <x:c r="F199" s="8" t="n">
        <x:v>1600</x:v>
      </x:c>
      <x:c r="G199" s="8" t="n">
        <x:v>192</x:v>
      </x:c>
      <x:c r="H199" s="8" t="n">
        <x:v>650</x:v>
      </x:c>
      <x:c r="I199" s="2" t="str">
        <x:v>оплачен</x:v>
      </x:c>
      <x:c r="J199" s="8" t="n">
        <x:f>IF(I199="оплачен",E199*F199-G199,0)</x:f>
        <x:v>1408</x:v>
      </x:c>
      <x:c r="K199" s="8" t="n">
        <x:f>IF(I199="оплачен",E199*H199,0)</x:f>
        <x:v>650</x:v>
      </x:c>
      <x:c r="L199" s="8" t="n">
        <x:f>J199-K199</x:f>
        <x:v>758</x:v>
      </x:c>
      <x:c r="M199" s="2" t="str">
        <x:f>TEXT(B199,"yyyy-mm")</x:f>
        <x:v>2026-09</x:v>
      </x:c>
    </x:row>
    <x:row r="200" ht="26" customHeight="1">
      <x:c r="A200" s="2" t="str">
        <x:v>O199</x:v>
      </x:c>
      <x:c r="B200" s="7" t="d">
        <x:v>2026-09-03T00:00:00.000Z</x:v>
      </x:c>
      <x:c r="C200" s="2" t="str">
        <x:v>Рюкзак</x:v>
      </x:c>
      <x:c r="D200" s="2" t="str">
        <x:v>Соцсети</x:v>
      </x:c>
      <x:c r="E200" s="29" t="n">
        <x:v>3</x:v>
      </x:c>
      <x:c r="F200" s="8" t="n">
        <x:v>3600</x:v>
      </x:c>
      <x:c r="G200" s="8" t="n">
        <x:v>324</x:v>
      </x:c>
      <x:c r="H200" s="8" t="n">
        <x:v>1900</x:v>
      </x:c>
      <x:c r="I200" s="2" t="str">
        <x:v>оплачен</x:v>
      </x:c>
      <x:c r="J200" s="8" t="n">
        <x:f>IF(I200="оплачен",E200*F200-G200,0)</x:f>
        <x:v>10476</x:v>
      </x:c>
      <x:c r="K200" s="8" t="n">
        <x:f>IF(I200="оплачен",E200*H200,0)</x:f>
        <x:v>5700</x:v>
      </x:c>
      <x:c r="L200" s="8" t="n">
        <x:f>J200-K200</x:f>
        <x:v>4776</x:v>
      </x:c>
      <x:c r="M200" s="2" t="str">
        <x:f>TEXT(B200,"yyyy-mm")</x:f>
        <x:v>2026-09</x:v>
      </x:c>
    </x:row>
    <x:row r="201" ht="26" customHeight="1">
      <x:c r="A201" s="2" t="str">
        <x:v>O200</x:v>
      </x:c>
      <x:c r="B201" s="7" t="d">
        <x:v>2026-09-04T00:00:00.000Z</x:v>
      </x:c>
      <x:c r="C201" s="2" t="str">
        <x:v>Настольная лампа</x:v>
      </x:c>
      <x:c r="D201" s="2" t="str">
        <x:v>Соцсети</x:v>
      </x:c>
      <x:c r="E201" s="29" t="n">
        <x:v>1</x:v>
      </x:c>
      <x:c r="F201" s="8" t="n">
        <x:v>2900</x:v>
      </x:c>
      <x:c r="G201" s="8" t="n">
        <x:v>87</x:v>
      </x:c>
      <x:c r="H201" s="8" t="n">
        <x:v>1700</x:v>
      </x:c>
      <x:c r="I201" s="2" t="str">
        <x:v>оплачен</x:v>
      </x:c>
      <x:c r="J201" s="8" t="n">
        <x:f>IF(I201="оплачен",E201*F201-G201,0)</x:f>
        <x:v>2813</x:v>
      </x:c>
      <x:c r="K201" s="8" t="n">
        <x:f>IF(I201="оплачен",E201*H201,0)</x:f>
        <x:v>1700</x:v>
      </x:c>
      <x:c r="L201" s="8" t="n">
        <x:f>J201-K201</x:f>
        <x:v>1113</x:v>
      </x:c>
      <x:c r="M201" s="2" t="str">
        <x:f>TEXT(B201,"yyyy-mm")</x:f>
        <x:v>2026-09</x:v>
      </x:c>
    </x:row>
    <x:row r="202" ht="26" customHeight="1">
      <x:c r="A202" s="2" t="str">
        <x:v>O201</x:v>
      </x:c>
      <x:c r="B202" s="7" t="d">
        <x:v>2026-09-05T00:00:00.000Z</x:v>
      </x:c>
      <x:c r="C202" s="2" t="str">
        <x:v>Рюкзак</x:v>
      </x:c>
      <x:c r="D202" s="2" t="str">
        <x:v>Сайт</x:v>
      </x:c>
      <x:c r="E202" s="29" t="n">
        <x:v>1</x:v>
      </x:c>
      <x:c r="F202" s="8" t="n">
        <x:v>3600</x:v>
      </x:c>
      <x:c r="G202" s="8" t="n">
        <x:v>108</x:v>
      </x:c>
      <x:c r="H202" s="8" t="n">
        <x:v>1900</x:v>
      </x:c>
      <x:c r="I202" s="2" t="str">
        <x:v>оплачен</x:v>
      </x:c>
      <x:c r="J202" s="8" t="n">
        <x:f>IF(I202="оплачен",E202*F202-G202,0)</x:f>
        <x:v>3492</x:v>
      </x:c>
      <x:c r="K202" s="8" t="n">
        <x:f>IF(I202="оплачен",E202*H202,0)</x:f>
        <x:v>1900</x:v>
      </x:c>
      <x:c r="L202" s="8" t="n">
        <x:f>J202-K202</x:f>
        <x:v>1592</x:v>
      </x:c>
      <x:c r="M202" s="2" t="str">
        <x:f>TEXT(B202,"yyyy-mm")</x:f>
        <x:v>2026-09</x:v>
      </x:c>
    </x:row>
    <x:row r="203" ht="26" customHeight="1">
      <x:c r="A203" s="2" t="str">
        <x:v>O202</x:v>
      </x:c>
      <x:c r="B203" s="7" t="d">
        <x:v>2026-09-06T00:00:00.000Z</x:v>
      </x:c>
      <x:c r="C203" s="2" t="str">
        <x:v>Рюкзак</x:v>
      </x:c>
      <x:c r="D203" s="2" t="str">
        <x:v>Соцсети</x:v>
      </x:c>
      <x:c r="E203" s="29" t="n">
        <x:v>3</x:v>
      </x:c>
      <x:c r="F203" s="8" t="n">
        <x:v>3600</x:v>
      </x:c>
      <x:c r="G203" s="8" t="n">
        <x:v>324</x:v>
      </x:c>
      <x:c r="H203" s="8" t="n">
        <x:v>1900</x:v>
      </x:c>
      <x:c r="I203" s="2" t="str">
        <x:v>оплачен</x:v>
      </x:c>
      <x:c r="J203" s="8" t="n">
        <x:f>IF(I203="оплачен",E203*F203-G203,0)</x:f>
        <x:v>10476</x:v>
      </x:c>
      <x:c r="K203" s="8" t="n">
        <x:f>IF(I203="оплачен",E203*H203,0)</x:f>
        <x:v>5700</x:v>
      </x:c>
      <x:c r="L203" s="8" t="n">
        <x:f>J203-K203</x:f>
        <x:v>4776</x:v>
      </x:c>
      <x:c r="M203" s="2" t="str">
        <x:f>TEXT(B203,"yyyy-mm")</x:f>
        <x:v>2026-09</x:v>
      </x:c>
    </x:row>
    <x:row r="204" ht="26" customHeight="1">
      <x:c r="A204" s="2" t="str">
        <x:v>O203</x:v>
      </x:c>
      <x:c r="B204" s="7" t="d">
        <x:v>2026-09-07T00:00:00.000Z</x:v>
      </x:c>
      <x:c r="C204" s="2" t="str">
        <x:v>Планер</x:v>
      </x:c>
      <x:c r="D204" s="2" t="str">
        <x:v>Маркетплейс</x:v>
      </x:c>
      <x:c r="E204" s="29" t="n">
        <x:v>2</x:v>
      </x:c>
      <x:c r="F204" s="8" t="n">
        <x:v>800</x:v>
      </x:c>
      <x:c r="G204" s="8" t="n">
        <x:v>192</x:v>
      </x:c>
      <x:c r="H204" s="8" t="n">
        <x:v>280</x:v>
      </x:c>
      <x:c r="I204" s="2" t="str">
        <x:v>оплачен</x:v>
      </x:c>
      <x:c r="J204" s="8" t="n">
        <x:f>IF(I204="оплачен",E204*F204-G204,0)</x:f>
        <x:v>1408</x:v>
      </x:c>
      <x:c r="K204" s="8" t="n">
        <x:f>IF(I204="оплачен",E204*H204,0)</x:f>
        <x:v>560</x:v>
      </x:c>
      <x:c r="L204" s="8" t="n">
        <x:f>J204-K204</x:f>
        <x:v>848</x:v>
      </x:c>
      <x:c r="M204" s="2" t="str">
        <x:f>TEXT(B204,"yyyy-mm")</x:f>
        <x:v>2026-09</x:v>
      </x:c>
    </x:row>
    <x:row r="205" ht="26" customHeight="1">
      <x:c r="A205" s="2" t="str">
        <x:v>O204</x:v>
      </x:c>
      <x:c r="B205" s="7" t="d">
        <x:v>2026-09-08T00:00:00.000Z</x:v>
      </x:c>
      <x:c r="C205" s="2" t="str">
        <x:v>Рюкзак</x:v>
      </x:c>
      <x:c r="D205" s="2" t="str">
        <x:v>Маркетплейс</x:v>
      </x:c>
      <x:c r="E205" s="29" t="n">
        <x:v>1</x:v>
      </x:c>
      <x:c r="F205" s="8" t="n">
        <x:v>3600</x:v>
      </x:c>
      <x:c r="G205" s="8" t="n">
        <x:v>432</x:v>
      </x:c>
      <x:c r="H205" s="8" t="n">
        <x:v>1900</x:v>
      </x:c>
      <x:c r="I205" s="2" t="str">
        <x:v>оплачен</x:v>
      </x:c>
      <x:c r="J205" s="8" t="n">
        <x:f>IF(I205="оплачен",E205*F205-G205,0)</x:f>
        <x:v>3168</x:v>
      </x:c>
      <x:c r="K205" s="8" t="n">
        <x:f>IF(I205="оплачен",E205*H205,0)</x:f>
        <x:v>1900</x:v>
      </x:c>
      <x:c r="L205" s="8" t="n">
        <x:f>J205-K205</x:f>
        <x:v>1268</x:v>
      </x:c>
      <x:c r="M205" s="2" t="str">
        <x:f>TEXT(B205,"yyyy-mm")</x:f>
        <x:v>2026-09</x:v>
      </x:c>
    </x:row>
    <x:row r="206" ht="26" customHeight="1">
      <x:c r="A206" s="2" t="str">
        <x:v>O205</x:v>
      </x:c>
      <x:c r="B206" s="7" t="d">
        <x:v>2026-09-09T00:00:00.000Z</x:v>
      </x:c>
      <x:c r="C206" s="2" t="str">
        <x:v>Планер</x:v>
      </x:c>
      <x:c r="D206" s="2" t="str">
        <x:v>Маркетплейс</x:v>
      </x:c>
      <x:c r="E206" s="29" t="n">
        <x:v>1</x:v>
      </x:c>
      <x:c r="F206" s="8" t="n">
        <x:v>800</x:v>
      </x:c>
      <x:c r="G206" s="8" t="n">
        <x:v>96</x:v>
      </x:c>
      <x:c r="H206" s="8" t="n">
        <x:v>280</x:v>
      </x:c>
      <x:c r="I206" s="2" t="str">
        <x:v>возвращён</x:v>
      </x:c>
      <x:c r="J206" s="8" t="n">
        <x:f>IF(I206="оплачен",E206*F206-G206,0)</x:f>
        <x:v>0</x:v>
      </x:c>
      <x:c r="K206" s="8" t="n">
        <x:f>IF(I206="оплачен",E206*H206,0)</x:f>
        <x:v>0</x:v>
      </x:c>
      <x:c r="L206" s="8" t="n">
        <x:f>J206-K206</x:f>
        <x:v>0</x:v>
      </x:c>
      <x:c r="M206" s="2" t="str">
        <x:f>TEXT(B206,"yyyy-mm")</x:f>
        <x:v>2026-09</x:v>
      </x:c>
    </x:row>
    <x:row r="207" ht="26" customHeight="1">
      <x:c r="A207" s="2" t="str">
        <x:v>O206</x:v>
      </x:c>
      <x:c r="B207" s="7" t="d">
        <x:v>2026-09-10T00:00:00.000Z</x:v>
      </x:c>
      <x:c r="C207" s="2" t="str">
        <x:v>Настольная лампа</x:v>
      </x:c>
      <x:c r="D207" s="2" t="str">
        <x:v>Соцсети</x:v>
      </x:c>
      <x:c r="E207" s="29" t="n">
        <x:v>2</x:v>
      </x:c>
      <x:c r="F207" s="8" t="n">
        <x:v>2900</x:v>
      </x:c>
      <x:c r="G207" s="8" t="n">
        <x:v>174</x:v>
      </x:c>
      <x:c r="H207" s="8" t="n">
        <x:v>1700</x:v>
      </x:c>
      <x:c r="I207" s="2" t="str">
        <x:v>оплачен</x:v>
      </x:c>
      <x:c r="J207" s="8" t="n">
        <x:f>IF(I207="оплачен",E207*F207-G207,0)</x:f>
        <x:v>5626</x:v>
      </x:c>
      <x:c r="K207" s="8" t="n">
        <x:f>IF(I207="оплачен",E207*H207,0)</x:f>
        <x:v>3400</x:v>
      </x:c>
      <x:c r="L207" s="8" t="n">
        <x:f>J207-K207</x:f>
        <x:v>2226</x:v>
      </x:c>
      <x:c r="M207" s="2" t="str">
        <x:f>TEXT(B207,"yyyy-mm")</x:f>
        <x:v>2026-09</x:v>
      </x:c>
    </x:row>
    <x:row r="208" ht="26" customHeight="1">
      <x:c r="A208" s="2" t="str">
        <x:v>O207</x:v>
      </x:c>
      <x:c r="B208" s="7" t="d">
        <x:v>2026-09-11T00:00:00.000Z</x:v>
      </x:c>
      <x:c r="C208" s="2" t="str">
        <x:v>Планер</x:v>
      </x:c>
      <x:c r="D208" s="2" t="str">
        <x:v>Соцсети</x:v>
      </x:c>
      <x:c r="E208" s="29" t="n">
        <x:v>3</x:v>
      </x:c>
      <x:c r="F208" s="8" t="n">
        <x:v>800</x:v>
      </x:c>
      <x:c r="G208" s="8" t="n">
        <x:v>72</x:v>
      </x:c>
      <x:c r="H208" s="8" t="n">
        <x:v>280</x:v>
      </x:c>
      <x:c r="I208" s="2" t="str">
        <x:v>оплачен</x:v>
      </x:c>
      <x:c r="J208" s="8" t="n">
        <x:f>IF(I208="оплачен",E208*F208-G208,0)</x:f>
        <x:v>2328</x:v>
      </x:c>
      <x:c r="K208" s="8" t="n">
        <x:f>IF(I208="оплачен",E208*H208,0)</x:f>
        <x:v>840</x:v>
      </x:c>
      <x:c r="L208" s="8" t="n">
        <x:f>J208-K208</x:f>
        <x:v>1488</x:v>
      </x:c>
      <x:c r="M208" s="2" t="str">
        <x:f>TEXT(B208,"yyyy-mm")</x:f>
        <x:v>2026-09</x:v>
      </x:c>
    </x:row>
    <x:row r="209" ht="26" customHeight="1">
      <x:c r="A209" s="2" t="str">
        <x:v>O208</x:v>
      </x:c>
      <x:c r="B209" s="7" t="d">
        <x:v>2026-09-12T00:00:00.000Z</x:v>
      </x:c>
      <x:c r="C209" s="2" t="str">
        <x:v>Рюкзак</x:v>
      </x:c>
      <x:c r="D209" s="2" t="str">
        <x:v>Маркетплейс</x:v>
      </x:c>
      <x:c r="E209" s="29" t="n">
        <x:v>4</x:v>
      </x:c>
      <x:c r="F209" s="8" t="n">
        <x:v>3600</x:v>
      </x:c>
      <x:c r="G209" s="8" t="n">
        <x:v>1728</x:v>
      </x:c>
      <x:c r="H209" s="8" t="n">
        <x:v>1900</x:v>
      </x:c>
      <x:c r="I209" s="2" t="str">
        <x:v>оплачен</x:v>
      </x:c>
      <x:c r="J209" s="8" t="n">
        <x:f>IF(I209="оплачен",E209*F209-G209,0)</x:f>
        <x:v>12672</x:v>
      </x:c>
      <x:c r="K209" s="8" t="n">
        <x:f>IF(I209="оплачен",E209*H209,0)</x:f>
        <x:v>7600</x:v>
      </x:c>
      <x:c r="L209" s="8" t="n">
        <x:f>J209-K209</x:f>
        <x:v>5072</x:v>
      </x:c>
      <x:c r="M209" s="2" t="str">
        <x:f>TEXT(B209,"yyyy-mm")</x:f>
        <x:v>2026-09</x:v>
      </x:c>
    </x:row>
    <x:row r="210" ht="26" customHeight="1">
      <x:c r="A210" s="2" t="str">
        <x:v>O209</x:v>
      </x:c>
      <x:c r="B210" s="7" t="d">
        <x:v>2026-09-13T00:00:00.000Z</x:v>
      </x:c>
      <x:c r="C210" s="2" t="str">
        <x:v>Планер</x:v>
      </x:c>
      <x:c r="D210" s="2" t="str">
        <x:v>Маркетплейс</x:v>
      </x:c>
      <x:c r="E210" s="29" t="n">
        <x:v>3</x:v>
      </x:c>
      <x:c r="F210" s="8" t="n">
        <x:v>800</x:v>
      </x:c>
      <x:c r="G210" s="8" t="n">
        <x:v>288</x:v>
      </x:c>
      <x:c r="H210" s="8" t="n">
        <x:v>280</x:v>
      </x:c>
      <x:c r="I210" s="2" t="str">
        <x:v>отменён</x:v>
      </x:c>
      <x:c r="J210" s="8" t="n">
        <x:f>IF(I210="оплачен",E210*F210-G210,0)</x:f>
        <x:v>0</x:v>
      </x:c>
      <x:c r="K210" s="8" t="n">
        <x:f>IF(I210="оплачен",E210*H210,0)</x:f>
        <x:v>0</x:v>
      </x:c>
      <x:c r="L210" s="8" t="n">
        <x:f>J210-K210</x:f>
        <x:v>0</x:v>
      </x:c>
      <x:c r="M210" s="2" t="str">
        <x:f>TEXT(B210,"yyyy-mm")</x:f>
        <x:v>2026-09</x:v>
      </x:c>
    </x:row>
    <x:row r="211" ht="26" customHeight="1">
      <x:c r="A211" s="2" t="str">
        <x:v>O210</x:v>
      </x:c>
      <x:c r="B211" s="7" t="d">
        <x:v>2026-09-14T00:00:00.000Z</x:v>
      </x:c>
      <x:c r="C211" s="2" t="str">
        <x:v>Планер</x:v>
      </x:c>
      <x:c r="D211" s="2" t="str">
        <x:v>Соцсети</x:v>
      </x:c>
      <x:c r="E211" s="29" t="n">
        <x:v>1</x:v>
      </x:c>
      <x:c r="F211" s="8" t="n">
        <x:v>800</x:v>
      </x:c>
      <x:c r="G211" s="8" t="n">
        <x:v>24</x:v>
      </x:c>
      <x:c r="H211" s="8" t="n">
        <x:v>280</x:v>
      </x:c>
      <x:c r="I211" s="2" t="str">
        <x:v>оплачен</x:v>
      </x:c>
      <x:c r="J211" s="8" t="n">
        <x:f>IF(I211="оплачен",E211*F211-G211,0)</x:f>
        <x:v>776</x:v>
      </x:c>
      <x:c r="K211" s="8" t="n">
        <x:f>IF(I211="оплачен",E211*H211,0)</x:f>
        <x:v>280</x:v>
      </x:c>
      <x:c r="L211" s="8" t="n">
        <x:f>J211-K211</x:f>
        <x:v>496</x:v>
      </x:c>
      <x:c r="M211" s="2" t="str">
        <x:f>TEXT(B211,"yyyy-mm")</x:f>
        <x:v>2026-09</x:v>
      </x:c>
    </x:row>
    <x:row r="212" ht="26" customHeight="1">
      <x:c r="A212" s="2" t="str">
        <x:v>O211</x:v>
      </x:c>
      <x:c r="B212" s="7" t="d">
        <x:v>2026-09-15T00:00:00.000Z</x:v>
      </x:c>
      <x:c r="C212" s="2" t="str">
        <x:v>Рюкзак</x:v>
      </x:c>
      <x:c r="D212" s="2" t="str">
        <x:v>Сайт</x:v>
      </x:c>
      <x:c r="E212" s="29" t="n">
        <x:v>3</x:v>
      </x:c>
      <x:c r="F212" s="8" t="n">
        <x:v>3600</x:v>
      </x:c>
      <x:c r="G212" s="8" t="n">
        <x:v>324</x:v>
      </x:c>
      <x:c r="H212" s="8" t="n">
        <x:v>1900</x:v>
      </x:c>
      <x:c r="I212" s="2" t="str">
        <x:v>оплачен</x:v>
      </x:c>
      <x:c r="J212" s="8" t="n">
        <x:f>IF(I212="оплачен",E212*F212-G212,0)</x:f>
        <x:v>10476</x:v>
      </x:c>
      <x:c r="K212" s="8" t="n">
        <x:f>IF(I212="оплачен",E212*H212,0)</x:f>
        <x:v>5700</x:v>
      </x:c>
      <x:c r="L212" s="8" t="n">
        <x:f>J212-K212</x:f>
        <x:v>4776</x:v>
      </x:c>
      <x:c r="M212" s="2" t="str">
        <x:f>TEXT(B212,"yyyy-mm")</x:f>
        <x:v>2026-09</x:v>
      </x:c>
    </x:row>
    <x:row r="213" ht="26" customHeight="1">
      <x:c r="A213" s="2" t="str">
        <x:v>O212</x:v>
      </x:c>
      <x:c r="B213" s="7" t="d">
        <x:v>2026-09-16T00:00:00.000Z</x:v>
      </x:c>
      <x:c r="C213" s="2" t="str">
        <x:v>Рюкзак</x:v>
      </x:c>
      <x:c r="D213" s="2" t="str">
        <x:v>Сайт</x:v>
      </x:c>
      <x:c r="E213" s="29" t="n">
        <x:v>3</x:v>
      </x:c>
      <x:c r="F213" s="8" t="n">
        <x:v>3600</x:v>
      </x:c>
      <x:c r="G213" s="8" t="n">
        <x:v>324</x:v>
      </x:c>
      <x:c r="H213" s="8" t="n">
        <x:v>1900</x:v>
      </x:c>
      <x:c r="I213" s="2" t="str">
        <x:v>оплачен</x:v>
      </x:c>
      <x:c r="J213" s="8" t="n">
        <x:f>IF(I213="оплачен",E213*F213-G213,0)</x:f>
        <x:v>10476</x:v>
      </x:c>
      <x:c r="K213" s="8" t="n">
        <x:f>IF(I213="оплачен",E213*H213,0)</x:f>
        <x:v>5700</x:v>
      </x:c>
      <x:c r="L213" s="8" t="n">
        <x:f>J213-K213</x:f>
        <x:v>4776</x:v>
      </x:c>
      <x:c r="M213" s="2" t="str">
        <x:f>TEXT(B213,"yyyy-mm")</x:f>
        <x:v>2026-09</x:v>
      </x:c>
    </x:row>
    <x:row r="214" ht="26" customHeight="1">
      <x:c r="A214" s="2" t="str">
        <x:v>O213</x:v>
      </x:c>
      <x:c r="B214" s="7" t="d">
        <x:v>2026-09-17T00:00:00.000Z</x:v>
      </x:c>
      <x:c r="C214" s="2" t="str">
        <x:v>Термокружка</x:v>
      </x:c>
      <x:c r="D214" s="2" t="str">
        <x:v>Маркетплейс</x:v>
      </x:c>
      <x:c r="E214" s="29" t="n">
        <x:v>2</x:v>
      </x:c>
      <x:c r="F214" s="8" t="n">
        <x:v>1600</x:v>
      </x:c>
      <x:c r="G214" s="8" t="n">
        <x:v>384</x:v>
      </x:c>
      <x:c r="H214" s="8" t="n">
        <x:v>650</x:v>
      </x:c>
      <x:c r="I214" s="2" t="str">
        <x:v>оплачен</x:v>
      </x:c>
      <x:c r="J214" s="8" t="n">
        <x:f>IF(I214="оплачен",E214*F214-G214,0)</x:f>
        <x:v>2816</x:v>
      </x:c>
      <x:c r="K214" s="8" t="n">
        <x:f>IF(I214="оплачен",E214*H214,0)</x:f>
        <x:v>1300</x:v>
      </x:c>
      <x:c r="L214" s="8" t="n">
        <x:f>J214-K214</x:f>
        <x:v>1516</x:v>
      </x:c>
      <x:c r="M214" s="2" t="str">
        <x:f>TEXT(B214,"yyyy-mm")</x:f>
        <x:v>2026-09</x:v>
      </x:c>
    </x:row>
    <x:row r="215" ht="26" customHeight="1">
      <x:c r="A215" s="2" t="str">
        <x:v>O214</x:v>
      </x:c>
      <x:c r="B215" s="7" t="d">
        <x:v>2026-09-18T00:00:00.000Z</x:v>
      </x:c>
      <x:c r="C215" s="2" t="str">
        <x:v>Рюкзак</x:v>
      </x:c>
      <x:c r="D215" s="2" t="str">
        <x:v>Соцсети</x:v>
      </x:c>
      <x:c r="E215" s="29" t="n">
        <x:v>1</x:v>
      </x:c>
      <x:c r="F215" s="8" t="n">
        <x:v>3600</x:v>
      </x:c>
      <x:c r="G215" s="8" t="n">
        <x:v>108</x:v>
      </x:c>
      <x:c r="H215" s="8" t="n">
        <x:v>1900</x:v>
      </x:c>
      <x:c r="I215" s="2" t="str">
        <x:v>оплачен</x:v>
      </x:c>
      <x:c r="J215" s="8" t="n">
        <x:f>IF(I215="оплачен",E215*F215-G215,0)</x:f>
        <x:v>3492</x:v>
      </x:c>
      <x:c r="K215" s="8" t="n">
        <x:f>IF(I215="оплачен",E215*H215,0)</x:f>
        <x:v>1900</x:v>
      </x:c>
      <x:c r="L215" s="8" t="n">
        <x:f>J215-K215</x:f>
        <x:v>1592</x:v>
      </x:c>
      <x:c r="M215" s="2" t="str">
        <x:f>TEXT(B215,"yyyy-mm")</x:f>
        <x:v>2026-09</x:v>
      </x:c>
    </x:row>
    <x:row r="216" ht="26" customHeight="1">
      <x:c r="A216" s="2" t="str">
        <x:v>O215</x:v>
      </x:c>
      <x:c r="B216" s="7" t="d">
        <x:v>2026-09-19T00:00:00.000Z</x:v>
      </x:c>
      <x:c r="C216" s="2" t="str">
        <x:v>Планер</x:v>
      </x:c>
      <x:c r="D216" s="2" t="str">
        <x:v>Маркетплейс</x:v>
      </x:c>
      <x:c r="E216" s="29" t="n">
        <x:v>4</x:v>
      </x:c>
      <x:c r="F216" s="8" t="n">
        <x:v>800</x:v>
      </x:c>
      <x:c r="G216" s="8" t="n">
        <x:v>384</x:v>
      </x:c>
      <x:c r="H216" s="8" t="n">
        <x:v>280</x:v>
      </x:c>
      <x:c r="I216" s="2" t="str">
        <x:v>оплачен</x:v>
      </x:c>
      <x:c r="J216" s="8" t="n">
        <x:f>IF(I216="оплачен",E216*F216-G216,0)</x:f>
        <x:v>2816</x:v>
      </x:c>
      <x:c r="K216" s="8" t="n">
        <x:f>IF(I216="оплачен",E216*H216,0)</x:f>
        <x:v>1120</x:v>
      </x:c>
      <x:c r="L216" s="8" t="n">
        <x:f>J216-K216</x:f>
        <x:v>1696</x:v>
      </x:c>
      <x:c r="M216" s="2" t="str">
        <x:f>TEXT(B216,"yyyy-mm")</x:f>
        <x:v>2026-09</x:v>
      </x:c>
    </x:row>
    <x:row r="217" ht="26" customHeight="1">
      <x:c r="A217" s="2" t="str">
        <x:v>O216</x:v>
      </x:c>
      <x:c r="B217" s="7" t="d">
        <x:v>2026-09-20T00:00:00.000Z</x:v>
      </x:c>
      <x:c r="C217" s="2" t="str">
        <x:v>Планер</x:v>
      </x:c>
      <x:c r="D217" s="2" t="str">
        <x:v>Маркетплейс</x:v>
      </x:c>
      <x:c r="E217" s="29" t="n">
        <x:v>3</x:v>
      </x:c>
      <x:c r="F217" s="8" t="n">
        <x:v>800</x:v>
      </x:c>
      <x:c r="G217" s="8" t="n">
        <x:v>288</x:v>
      </x:c>
      <x:c r="H217" s="8" t="n">
        <x:v>280</x:v>
      </x:c>
      <x:c r="I217" s="2" t="str">
        <x:v>оплачен</x:v>
      </x:c>
      <x:c r="J217" s="8" t="n">
        <x:f>IF(I217="оплачен",E217*F217-G217,0)</x:f>
        <x:v>2112</x:v>
      </x:c>
      <x:c r="K217" s="8" t="n">
        <x:f>IF(I217="оплачен",E217*H217,0)</x:f>
        <x:v>840</x:v>
      </x:c>
      <x:c r="L217" s="8" t="n">
        <x:f>J217-K217</x:f>
        <x:v>1272</x:v>
      </x:c>
      <x:c r="M217" s="2" t="str">
        <x:f>TEXT(B217,"yyyy-mm")</x:f>
        <x:v>2026-09</x:v>
      </x:c>
    </x:row>
    <x:row r="218" ht="26" customHeight="1">
      <x:c r="A218" s="2" t="str">
        <x:v>O217</x:v>
      </x:c>
      <x:c r="B218" s="7" t="d">
        <x:v>2026-09-21T00:00:00.000Z</x:v>
      </x:c>
      <x:c r="C218" s="2" t="str">
        <x:v>Термокружка</x:v>
      </x:c>
      <x:c r="D218" s="2" t="str">
        <x:v>Маркетплейс</x:v>
      </x:c>
      <x:c r="E218" s="29" t="n">
        <x:v>3</x:v>
      </x:c>
      <x:c r="F218" s="8" t="n">
        <x:v>1600</x:v>
      </x:c>
      <x:c r="G218" s="8" t="n">
        <x:v>576</x:v>
      </x:c>
      <x:c r="H218" s="8" t="n">
        <x:v>650</x:v>
      </x:c>
      <x:c r="I218" s="2" t="str">
        <x:v>оплачен</x:v>
      </x:c>
      <x:c r="J218" s="8" t="n">
        <x:f>IF(I218="оплачен",E218*F218-G218,0)</x:f>
        <x:v>4224</x:v>
      </x:c>
      <x:c r="K218" s="8" t="n">
        <x:f>IF(I218="оплачен",E218*H218,0)</x:f>
        <x:v>1950</x:v>
      </x:c>
      <x:c r="L218" s="8" t="n">
        <x:f>J218-K218</x:f>
        <x:v>2274</x:v>
      </x:c>
      <x:c r="M218" s="2" t="str">
        <x:f>TEXT(B218,"yyyy-mm")</x:f>
        <x:v>2026-09</x:v>
      </x:c>
    </x:row>
    <x:row r="219" ht="26" customHeight="1">
      <x:c r="A219" s="2" t="str">
        <x:v>O218</x:v>
      </x:c>
      <x:c r="B219" s="7" t="d">
        <x:v>2026-09-22T00:00:00.000Z</x:v>
      </x:c>
      <x:c r="C219" s="2" t="str">
        <x:v>Рюкзак</x:v>
      </x:c>
      <x:c r="D219" s="2" t="str">
        <x:v>Маркетплейс</x:v>
      </x:c>
      <x:c r="E219" s="29" t="n">
        <x:v>2</x:v>
      </x:c>
      <x:c r="F219" s="8" t="n">
        <x:v>3600</x:v>
      </x:c>
      <x:c r="G219" s="8" t="n">
        <x:v>864</x:v>
      </x:c>
      <x:c r="H219" s="8" t="n">
        <x:v>1900</x:v>
      </x:c>
      <x:c r="I219" s="2" t="str">
        <x:v>оплачен</x:v>
      </x:c>
      <x:c r="J219" s="8" t="n">
        <x:f>IF(I219="оплачен",E219*F219-G219,0)</x:f>
        <x:v>6336</x:v>
      </x:c>
      <x:c r="K219" s="8" t="n">
        <x:f>IF(I219="оплачен",E219*H219,0)</x:f>
        <x:v>3800</x:v>
      </x:c>
      <x:c r="L219" s="8" t="n">
        <x:f>J219-K219</x:f>
        <x:v>2536</x:v>
      </x:c>
      <x:c r="M219" s="2" t="str">
        <x:f>TEXT(B219,"yyyy-mm")</x:f>
        <x:v>2026-09</x:v>
      </x:c>
    </x:row>
    <x:row r="220" ht="26" customHeight="1">
      <x:c r="A220" s="2" t="str">
        <x:v>O219</x:v>
      </x:c>
      <x:c r="B220" s="7" t="d">
        <x:v>2026-09-23T00:00:00.000Z</x:v>
      </x:c>
      <x:c r="C220" s="2" t="str">
        <x:v>Термокружка</x:v>
      </x:c>
      <x:c r="D220" s="2" t="str">
        <x:v>Маркетплейс</x:v>
      </x:c>
      <x:c r="E220" s="29" t="n">
        <x:v>1</x:v>
      </x:c>
      <x:c r="F220" s="8" t="n">
        <x:v>1600</x:v>
      </x:c>
      <x:c r="G220" s="8" t="n">
        <x:v>192</x:v>
      </x:c>
      <x:c r="H220" s="8" t="n">
        <x:v>650</x:v>
      </x:c>
      <x:c r="I220" s="2" t="str">
        <x:v>оплачен</x:v>
      </x:c>
      <x:c r="J220" s="8" t="n">
        <x:f>IF(I220="оплачен",E220*F220-G220,0)</x:f>
        <x:v>1408</x:v>
      </x:c>
      <x:c r="K220" s="8" t="n">
        <x:f>IF(I220="оплачен",E220*H220,0)</x:f>
        <x:v>650</x:v>
      </x:c>
      <x:c r="L220" s="8" t="n">
        <x:f>J220-K220</x:f>
        <x:v>758</x:v>
      </x:c>
      <x:c r="M220" s="2" t="str">
        <x:f>TEXT(B220,"yyyy-mm")</x:f>
        <x:v>2026-09</x:v>
      </x:c>
    </x:row>
    <x:row r="221" ht="26" customHeight="1">
      <x:c r="A221" s="2" t="str">
        <x:v>O220</x:v>
      </x:c>
      <x:c r="B221" s="7" t="d">
        <x:v>2026-09-24T00:00:00.000Z</x:v>
      </x:c>
      <x:c r="C221" s="2" t="str">
        <x:v>Настольная лампа</x:v>
      </x:c>
      <x:c r="D221" s="2" t="str">
        <x:v>Маркетплейс</x:v>
      </x:c>
      <x:c r="E221" s="29" t="n">
        <x:v>1</x:v>
      </x:c>
      <x:c r="F221" s="8" t="n">
        <x:v>2900</x:v>
      </x:c>
      <x:c r="G221" s="8" t="n">
        <x:v>348</x:v>
      </x:c>
      <x:c r="H221" s="8" t="n">
        <x:v>1700</x:v>
      </x:c>
      <x:c r="I221" s="2" t="str">
        <x:v>оплачен</x:v>
      </x:c>
      <x:c r="J221" s="8" t="n">
        <x:f>IF(I221="оплачен",E221*F221-G221,0)</x:f>
        <x:v>2552</x:v>
      </x:c>
      <x:c r="K221" s="8" t="n">
        <x:f>IF(I221="оплачен",E221*H221,0)</x:f>
        <x:v>1700</x:v>
      </x:c>
      <x:c r="L221" s="8" t="n">
        <x:f>J221-K221</x:f>
        <x:v>852</x:v>
      </x:c>
      <x:c r="M221" s="2" t="str">
        <x:f>TEXT(B221,"yyyy-mm")</x:f>
        <x:v>2026-09</x:v>
      </x:c>
    </x:row>
    <x:row r="222" ht="26" customHeight="1">
      <x:c r="A222" s="2" t="str">
        <x:v>O221</x:v>
      </x:c>
      <x:c r="B222" s="7" t="d">
        <x:v>2026-09-25T00:00:00.000Z</x:v>
      </x:c>
      <x:c r="C222" s="2" t="str">
        <x:v>Рюкзак</x:v>
      </x:c>
      <x:c r="D222" s="2" t="str">
        <x:v>Маркетплейс</x:v>
      </x:c>
      <x:c r="E222" s="29" t="n">
        <x:v>2</x:v>
      </x:c>
      <x:c r="F222" s="8" t="n">
        <x:v>3600</x:v>
      </x:c>
      <x:c r="G222" s="8" t="n">
        <x:v>864</x:v>
      </x:c>
      <x:c r="H222" s="8" t="n">
        <x:v>1900</x:v>
      </x:c>
      <x:c r="I222" s="2" t="str">
        <x:v>оплачен</x:v>
      </x:c>
      <x:c r="J222" s="8" t="n">
        <x:f>IF(I222="оплачен",E222*F222-G222,0)</x:f>
        <x:v>6336</x:v>
      </x:c>
      <x:c r="K222" s="8" t="n">
        <x:f>IF(I222="оплачен",E222*H222,0)</x:f>
        <x:v>3800</x:v>
      </x:c>
      <x:c r="L222" s="8" t="n">
        <x:f>J222-K222</x:f>
        <x:v>2536</x:v>
      </x:c>
      <x:c r="M222" s="2" t="str">
        <x:f>TEXT(B222,"yyyy-mm")</x:f>
        <x:v>2026-09</x:v>
      </x:c>
    </x:row>
    <x:row r="223" ht="26" customHeight="1">
      <x:c r="A223" s="2" t="str">
        <x:v>O222</x:v>
      </x:c>
      <x:c r="B223" s="7" t="d">
        <x:v>2026-09-26T00:00:00.000Z</x:v>
      </x:c>
      <x:c r="C223" s="2" t="str">
        <x:v>Рюкзак</x:v>
      </x:c>
      <x:c r="D223" s="2" t="str">
        <x:v>Маркетплейс</x:v>
      </x:c>
      <x:c r="E223" s="29" t="n">
        <x:v>1</x:v>
      </x:c>
      <x:c r="F223" s="8" t="n">
        <x:v>3600</x:v>
      </x:c>
      <x:c r="G223" s="8" t="n">
        <x:v>432</x:v>
      </x:c>
      <x:c r="H223" s="8" t="n">
        <x:v>1900</x:v>
      </x:c>
      <x:c r="I223" s="2" t="str">
        <x:v>возвращён</x:v>
      </x:c>
      <x:c r="J223" s="8" t="n">
        <x:f>IF(I223="оплачен",E223*F223-G223,0)</x:f>
        <x:v>0</x:v>
      </x:c>
      <x:c r="K223" s="8" t="n">
        <x:f>IF(I223="оплачен",E223*H223,0)</x:f>
        <x:v>0</x:v>
      </x:c>
      <x:c r="L223" s="8" t="n">
        <x:f>J223-K223</x:f>
        <x:v>0</x:v>
      </x:c>
      <x:c r="M223" s="2" t="str">
        <x:f>TEXT(B223,"yyyy-mm")</x:f>
        <x:v>2026-09</x:v>
      </x:c>
    </x:row>
    <x:row r="224" ht="26" customHeight="1">
      <x:c r="A224" s="2" t="str">
        <x:v>O223</x:v>
      </x:c>
      <x:c r="B224" s="7" t="d">
        <x:v>2026-09-27T00:00:00.000Z</x:v>
      </x:c>
      <x:c r="C224" s="2" t="str">
        <x:v>Планер</x:v>
      </x:c>
      <x:c r="D224" s="2" t="str">
        <x:v>Соцсети</x:v>
      </x:c>
      <x:c r="E224" s="29" t="n">
        <x:v>1</x:v>
      </x:c>
      <x:c r="F224" s="8" t="n">
        <x:v>800</x:v>
      </x:c>
      <x:c r="G224" s="8" t="n">
        <x:v>24</x:v>
      </x:c>
      <x:c r="H224" s="8" t="n">
        <x:v>280</x:v>
      </x:c>
      <x:c r="I224" s="2" t="str">
        <x:v>оплачен</x:v>
      </x:c>
      <x:c r="J224" s="8" t="n">
        <x:f>IF(I224="оплачен",E224*F224-G224,0)</x:f>
        <x:v>776</x:v>
      </x:c>
      <x:c r="K224" s="8" t="n">
        <x:f>IF(I224="оплачен",E224*H224,0)</x:f>
        <x:v>280</x:v>
      </x:c>
      <x:c r="L224" s="8" t="n">
        <x:f>J224-K224</x:f>
        <x:v>496</x:v>
      </x:c>
      <x:c r="M224" s="2" t="str">
        <x:f>TEXT(B224,"yyyy-mm")</x:f>
        <x:v>2026-09</x:v>
      </x:c>
    </x:row>
    <x:row r="225" ht="26" customHeight="1">
      <x:c r="A225" s="2" t="str">
        <x:v>O224</x:v>
      </x:c>
      <x:c r="B225" s="7" t="d">
        <x:v>2026-09-28T00:00:00.000Z</x:v>
      </x:c>
      <x:c r="C225" s="2" t="str">
        <x:v>Рюкзак</x:v>
      </x:c>
      <x:c r="D225" s="2" t="str">
        <x:v>Сайт</x:v>
      </x:c>
      <x:c r="E225" s="29" t="n">
        <x:v>3</x:v>
      </x:c>
      <x:c r="F225" s="8" t="n">
        <x:v>3600</x:v>
      </x:c>
      <x:c r="G225" s="8" t="n">
        <x:v>324</x:v>
      </x:c>
      <x:c r="H225" s="8" t="n">
        <x:v>1900</x:v>
      </x:c>
      <x:c r="I225" s="2" t="str">
        <x:v>оплачен</x:v>
      </x:c>
      <x:c r="J225" s="8" t="n">
        <x:f>IF(I225="оплачен",E225*F225-G225,0)</x:f>
        <x:v>10476</x:v>
      </x:c>
      <x:c r="K225" s="8" t="n">
        <x:f>IF(I225="оплачен",E225*H225,0)</x:f>
        <x:v>5700</x:v>
      </x:c>
      <x:c r="L225" s="8" t="n">
        <x:f>J225-K225</x:f>
        <x:v>4776</x:v>
      </x:c>
      <x:c r="M225" s="2" t="str">
        <x:f>TEXT(B225,"yyyy-mm")</x:f>
        <x:v>2026-09</x:v>
      </x:c>
    </x:row>
    <x:row r="226" ht="26" customHeight="1">
      <x:c r="A226" s="2" t="str">
        <x:v>O225</x:v>
      </x:c>
      <x:c r="B226" s="7" t="d">
        <x:v>2026-09-01T00:00:00.000Z</x:v>
      </x:c>
      <x:c r="C226" s="2" t="str">
        <x:v>Рюкзак</x:v>
      </x:c>
      <x:c r="D226" s="2" t="str">
        <x:v>Сайт</x:v>
      </x:c>
      <x:c r="E226" s="29" t="n">
        <x:v>4</x:v>
      </x:c>
      <x:c r="F226" s="8" t="n">
        <x:v>3600</x:v>
      </x:c>
      <x:c r="G226" s="8" t="n">
        <x:v>432</x:v>
      </x:c>
      <x:c r="H226" s="8" t="n">
        <x:v>1900</x:v>
      </x:c>
      <x:c r="I226" s="2" t="str">
        <x:v>оплачен</x:v>
      </x:c>
      <x:c r="J226" s="8" t="n">
        <x:f>IF(I226="оплачен",E226*F226-G226,0)</x:f>
        <x:v>13968</x:v>
      </x:c>
      <x:c r="K226" s="8" t="n">
        <x:f>IF(I226="оплачен",E226*H226,0)</x:f>
        <x:v>7600</x:v>
      </x:c>
      <x:c r="L226" s="8" t="n">
        <x:f>J226-K226</x:f>
        <x:v>6368</x:v>
      </x:c>
      <x:c r="M226" s="2" t="str">
        <x:f>TEXT(B226,"yyyy-mm")</x:f>
        <x:v>2026-09</x:v>
      </x:c>
    </x:row>
    <x:row r="227" ht="26" customHeight="1">
      <x:c r="A227" s="2" t="str">
        <x:v>O226</x:v>
      </x:c>
      <x:c r="B227" s="7" t="d">
        <x:v>2026-09-02T00:00:00.000Z</x:v>
      </x:c>
      <x:c r="C227" s="2" t="str">
        <x:v>Термокружка</x:v>
      </x:c>
      <x:c r="D227" s="2" t="str">
        <x:v>Маркетплейс</x:v>
      </x:c>
      <x:c r="E227" s="29" t="n">
        <x:v>4</x:v>
      </x:c>
      <x:c r="F227" s="8" t="n">
        <x:v>1600</x:v>
      </x:c>
      <x:c r="G227" s="8" t="n">
        <x:v>768</x:v>
      </x:c>
      <x:c r="H227" s="8" t="n">
        <x:v>650</x:v>
      </x:c>
      <x:c r="I227" s="2" t="str">
        <x:v>оплачен</x:v>
      </x:c>
      <x:c r="J227" s="8" t="n">
        <x:f>IF(I227="оплачен",E227*F227-G227,0)</x:f>
        <x:v>5632</x:v>
      </x:c>
      <x:c r="K227" s="8" t="n">
        <x:f>IF(I227="оплачен",E227*H227,0)</x:f>
        <x:v>2600</x:v>
      </x:c>
      <x:c r="L227" s="8" t="n">
        <x:f>J227-K227</x:f>
        <x:v>3032</x:v>
      </x:c>
      <x:c r="M227" s="2" t="str">
        <x:f>TEXT(B227,"yyyy-mm")</x:f>
        <x:v>2026-09</x:v>
      </x:c>
    </x:row>
    <x:row r="228" ht="26" customHeight="1">
      <x:c r="A228" s="2" t="str">
        <x:v>O227</x:v>
      </x:c>
      <x:c r="B228" s="7" t="d">
        <x:v>2026-09-03T00:00:00.000Z</x:v>
      </x:c>
      <x:c r="C228" s="2" t="str">
        <x:v>Термокружка</x:v>
      </x:c>
      <x:c r="D228" s="2" t="str">
        <x:v>Маркетплейс</x:v>
      </x:c>
      <x:c r="E228" s="29" t="n">
        <x:v>4</x:v>
      </x:c>
      <x:c r="F228" s="8" t="n">
        <x:v>1600</x:v>
      </x:c>
      <x:c r="G228" s="8" t="n">
        <x:v>768</x:v>
      </x:c>
      <x:c r="H228" s="8" t="n">
        <x:v>650</x:v>
      </x:c>
      <x:c r="I228" s="2" t="str">
        <x:v>оплачен</x:v>
      </x:c>
      <x:c r="J228" s="8" t="n">
        <x:f>IF(I228="оплачен",E228*F228-G228,0)</x:f>
        <x:v>5632</x:v>
      </x:c>
      <x:c r="K228" s="8" t="n">
        <x:f>IF(I228="оплачен",E228*H228,0)</x:f>
        <x:v>2600</x:v>
      </x:c>
      <x:c r="L228" s="8" t="n">
        <x:f>J228-K228</x:f>
        <x:v>3032</x:v>
      </x:c>
      <x:c r="M228" s="2" t="str">
        <x:f>TEXT(B228,"yyyy-mm")</x:f>
        <x:v>2026-09</x:v>
      </x:c>
    </x:row>
    <x:row r="229" ht="26" customHeight="1">
      <x:c r="A229" s="2" t="str">
        <x:v>O228</x:v>
      </x:c>
      <x:c r="B229" s="7" t="d">
        <x:v>2026-09-04T00:00:00.000Z</x:v>
      </x:c>
      <x:c r="C229" s="2" t="str">
        <x:v>Термокружка</x:v>
      </x:c>
      <x:c r="D229" s="2" t="str">
        <x:v>Соцсети</x:v>
      </x:c>
      <x:c r="E229" s="29" t="n">
        <x:v>2</x:v>
      </x:c>
      <x:c r="F229" s="8" t="n">
        <x:v>1600</x:v>
      </x:c>
      <x:c r="G229" s="8" t="n">
        <x:v>96</x:v>
      </x:c>
      <x:c r="H229" s="8" t="n">
        <x:v>650</x:v>
      </x:c>
      <x:c r="I229" s="2" t="str">
        <x:v>оплачен</x:v>
      </x:c>
      <x:c r="J229" s="8" t="n">
        <x:f>IF(I229="оплачен",E229*F229-G229,0)</x:f>
        <x:v>3104</x:v>
      </x:c>
      <x:c r="K229" s="8" t="n">
        <x:f>IF(I229="оплачен",E229*H229,0)</x:f>
        <x:v>1300</x:v>
      </x:c>
      <x:c r="L229" s="8" t="n">
        <x:f>J229-K229</x:f>
        <x:v>1804</x:v>
      </x:c>
      <x:c r="M229" s="2" t="str">
        <x:f>TEXT(B229,"yyyy-mm")</x:f>
        <x:v>2026-09</x:v>
      </x:c>
    </x:row>
    <x:row r="230" ht="26" customHeight="1">
      <x:c r="A230" s="2" t="str">
        <x:v>O229</x:v>
      </x:c>
      <x:c r="B230" s="7" t="d">
        <x:v>2026-09-05T00:00:00.000Z</x:v>
      </x:c>
      <x:c r="C230" s="2" t="str">
        <x:v>Планер</x:v>
      </x:c>
      <x:c r="D230" s="2" t="str">
        <x:v>Маркетплейс</x:v>
      </x:c>
      <x:c r="E230" s="29" t="n">
        <x:v>3</x:v>
      </x:c>
      <x:c r="F230" s="8" t="n">
        <x:v>800</x:v>
      </x:c>
      <x:c r="G230" s="8" t="n">
        <x:v>288</x:v>
      </x:c>
      <x:c r="H230" s="8" t="n">
        <x:v>280</x:v>
      </x:c>
      <x:c r="I230" s="2" t="str">
        <x:v>оплачен</x:v>
      </x:c>
      <x:c r="J230" s="8" t="n">
        <x:f>IF(I230="оплачен",E230*F230-G230,0)</x:f>
        <x:v>2112</x:v>
      </x:c>
      <x:c r="K230" s="8" t="n">
        <x:f>IF(I230="оплачен",E230*H230,0)</x:f>
        <x:v>840</x:v>
      </x:c>
      <x:c r="L230" s="8" t="n">
        <x:f>J230-K230</x:f>
        <x:v>1272</x:v>
      </x:c>
      <x:c r="M230" s="2" t="str">
        <x:f>TEXT(B230,"yyyy-mm")</x:f>
        <x:v>2026-09</x:v>
      </x:c>
    </x:row>
    <x:row r="231" ht="26" customHeight="1">
      <x:c r="A231" s="2" t="str">
        <x:v>O230</x:v>
      </x:c>
      <x:c r="B231" s="7" t="d">
        <x:v>2026-09-06T00:00:00.000Z</x:v>
      </x:c>
      <x:c r="C231" s="2" t="str">
        <x:v>Термокружка</x:v>
      </x:c>
      <x:c r="D231" s="2" t="str">
        <x:v>Маркетплейс</x:v>
      </x:c>
      <x:c r="E231" s="29" t="n">
        <x:v>3</x:v>
      </x:c>
      <x:c r="F231" s="8" t="n">
        <x:v>1600</x:v>
      </x:c>
      <x:c r="G231" s="8" t="n">
        <x:v>576</x:v>
      </x:c>
      <x:c r="H231" s="8" t="n">
        <x:v>650</x:v>
      </x:c>
      <x:c r="I231" s="2" t="str">
        <x:v>оплачен</x:v>
      </x:c>
      <x:c r="J231" s="8" t="n">
        <x:f>IF(I231="оплачен",E231*F231-G231,0)</x:f>
        <x:v>4224</x:v>
      </x:c>
      <x:c r="K231" s="8" t="n">
        <x:f>IF(I231="оплачен",E231*H231,0)</x:f>
        <x:v>1950</x:v>
      </x:c>
      <x:c r="L231" s="8" t="n">
        <x:f>J231-K231</x:f>
        <x:v>2274</x:v>
      </x:c>
      <x:c r="M231" s="2" t="str">
        <x:f>TEXT(B231,"yyyy-mm")</x:f>
        <x:v>2026-09</x:v>
      </x:c>
    </x:row>
    <x:row r="232" ht="26" customHeight="1">
      <x:c r="A232" s="2" t="str">
        <x:v>O231</x:v>
      </x:c>
      <x:c r="B232" s="7" t="d">
        <x:v>2026-09-07T00:00:00.000Z</x:v>
      </x:c>
      <x:c r="C232" s="2" t="str">
        <x:v>Термокружка</x:v>
      </x:c>
      <x:c r="D232" s="2" t="str">
        <x:v>Соцсети</x:v>
      </x:c>
      <x:c r="E232" s="29" t="n">
        <x:v>1</x:v>
      </x:c>
      <x:c r="F232" s="8" t="n">
        <x:v>1600</x:v>
      </x:c>
      <x:c r="G232" s="8" t="n">
        <x:v>48</x:v>
      </x:c>
      <x:c r="H232" s="8" t="n">
        <x:v>650</x:v>
      </x:c>
      <x:c r="I232" s="2" t="str">
        <x:v>оплачен</x:v>
      </x:c>
      <x:c r="J232" s="8" t="n">
        <x:f>IF(I232="оплачен",E232*F232-G232,0)</x:f>
        <x:v>1552</x:v>
      </x:c>
      <x:c r="K232" s="8" t="n">
        <x:f>IF(I232="оплачен",E232*H232,0)</x:f>
        <x:v>650</x:v>
      </x:c>
      <x:c r="L232" s="8" t="n">
        <x:f>J232-K232</x:f>
        <x:v>902</x:v>
      </x:c>
      <x:c r="M232" s="2" t="str">
        <x:f>TEXT(B232,"yyyy-mm")</x:f>
        <x:v>2026-09</x:v>
      </x:c>
    </x:row>
    <x:row r="233" ht="26" customHeight="1">
      <x:c r="A233" s="2" t="str">
        <x:v>O232</x:v>
      </x:c>
      <x:c r="B233" s="7" t="d">
        <x:v>2026-09-08T00:00:00.000Z</x:v>
      </x:c>
      <x:c r="C233" s="2" t="str">
        <x:v>Рюкзак</x:v>
      </x:c>
      <x:c r="D233" s="2" t="str">
        <x:v>Маркетплейс</x:v>
      </x:c>
      <x:c r="E233" s="29" t="n">
        <x:v>1</x:v>
      </x:c>
      <x:c r="F233" s="8" t="n">
        <x:v>3600</x:v>
      </x:c>
      <x:c r="G233" s="8" t="n">
        <x:v>432</x:v>
      </x:c>
      <x:c r="H233" s="8" t="n">
        <x:v>1900</x:v>
      </x:c>
      <x:c r="I233" s="2" t="str">
        <x:v>оплачен</x:v>
      </x:c>
      <x:c r="J233" s="8" t="n">
        <x:f>IF(I233="оплачен",E233*F233-G233,0)</x:f>
        <x:v>3168</x:v>
      </x:c>
      <x:c r="K233" s="8" t="n">
        <x:f>IF(I233="оплачен",E233*H233,0)</x:f>
        <x:v>1900</x:v>
      </x:c>
      <x:c r="L233" s="8" t="n">
        <x:f>J233-K233</x:f>
        <x:v>1268</x:v>
      </x:c>
      <x:c r="M233" s="2" t="str">
        <x:f>TEXT(B233,"yyyy-mm")</x:f>
        <x:v>2026-09</x:v>
      </x:c>
    </x:row>
    <x:row r="234" ht="26" customHeight="1">
      <x:c r="A234" s="2" t="str">
        <x:v>O233</x:v>
      </x:c>
      <x:c r="B234" s="7" t="d">
        <x:v>2026-09-09T00:00:00.000Z</x:v>
      </x:c>
      <x:c r="C234" s="2" t="str">
        <x:v>Планер</x:v>
      </x:c>
      <x:c r="D234" s="2" t="str">
        <x:v>Сайт</x:v>
      </x:c>
      <x:c r="E234" s="29" t="n">
        <x:v>4</x:v>
      </x:c>
      <x:c r="F234" s="8" t="n">
        <x:v>800</x:v>
      </x:c>
      <x:c r="G234" s="8" t="n">
        <x:v>96</x:v>
      </x:c>
      <x:c r="H234" s="8" t="n">
        <x:v>280</x:v>
      </x:c>
      <x:c r="I234" s="2" t="str">
        <x:v>оплачен</x:v>
      </x:c>
      <x:c r="J234" s="8" t="n">
        <x:f>IF(I234="оплачен",E234*F234-G234,0)</x:f>
        <x:v>3104</x:v>
      </x:c>
      <x:c r="K234" s="8" t="n">
        <x:f>IF(I234="оплачен",E234*H234,0)</x:f>
        <x:v>1120</x:v>
      </x:c>
      <x:c r="L234" s="8" t="n">
        <x:f>J234-K234</x:f>
        <x:v>1984</x:v>
      </x:c>
      <x:c r="M234" s="2" t="str">
        <x:f>TEXT(B234,"yyyy-mm")</x:f>
        <x:v>2026-09</x:v>
      </x:c>
    </x:row>
    <x:row r="235" ht="26" customHeight="1">
      <x:c r="A235" s="2" t="str">
        <x:v>O234</x:v>
      </x:c>
      <x:c r="B235" s="7" t="d">
        <x:v>2026-09-10T00:00:00.000Z</x:v>
      </x:c>
      <x:c r="C235" s="2" t="str">
        <x:v>Планер</x:v>
      </x:c>
      <x:c r="D235" s="2" t="str">
        <x:v>Маркетплейс</x:v>
      </x:c>
      <x:c r="E235" s="29" t="n">
        <x:v>3</x:v>
      </x:c>
      <x:c r="F235" s="8" t="n">
        <x:v>800</x:v>
      </x:c>
      <x:c r="G235" s="8" t="n">
        <x:v>288</x:v>
      </x:c>
      <x:c r="H235" s="8" t="n">
        <x:v>280</x:v>
      </x:c>
      <x:c r="I235" s="2" t="str">
        <x:v>оплачен</x:v>
      </x:c>
      <x:c r="J235" s="8" t="n">
        <x:f>IF(I235="оплачен",E235*F235-G235,0)</x:f>
        <x:v>2112</x:v>
      </x:c>
      <x:c r="K235" s="8" t="n">
        <x:f>IF(I235="оплачен",E235*H235,0)</x:f>
        <x:v>840</x:v>
      </x:c>
      <x:c r="L235" s="8" t="n">
        <x:f>J235-K235</x:f>
        <x:v>1272</x:v>
      </x:c>
      <x:c r="M235" s="2" t="str">
        <x:f>TEXT(B235,"yyyy-mm")</x:f>
        <x:v>2026-09</x:v>
      </x:c>
    </x:row>
    <x:row r="236" ht="26" customHeight="1">
      <x:c r="A236" s="2" t="str">
        <x:v>O235</x:v>
      </x:c>
      <x:c r="B236" s="7" t="d">
        <x:v>2026-09-11T00:00:00.000Z</x:v>
      </x:c>
      <x:c r="C236" s="2" t="str">
        <x:v>Настольная лампа</x:v>
      </x:c>
      <x:c r="D236" s="2" t="str">
        <x:v>Маркетплейс</x:v>
      </x:c>
      <x:c r="E236" s="29" t="n">
        <x:v>2</x:v>
      </x:c>
      <x:c r="F236" s="8" t="n">
        <x:v>2900</x:v>
      </x:c>
      <x:c r="G236" s="8" t="n">
        <x:v>696</x:v>
      </x:c>
      <x:c r="H236" s="8" t="n">
        <x:v>1700</x:v>
      </x:c>
      <x:c r="I236" s="2" t="str">
        <x:v>отменён</x:v>
      </x:c>
      <x:c r="J236" s="8" t="n">
        <x:f>IF(I236="оплачен",E236*F236-G236,0)</x:f>
        <x:v>0</x:v>
      </x:c>
      <x:c r="K236" s="8" t="n">
        <x:f>IF(I236="оплачен",E236*H236,0)</x:f>
        <x:v>0</x:v>
      </x:c>
      <x:c r="L236" s="8" t="n">
        <x:f>J236-K236</x:f>
        <x:v>0</x:v>
      </x:c>
      <x:c r="M236" s="2" t="str">
        <x:f>TEXT(B236,"yyyy-mm")</x:f>
        <x:v>2026-09</x:v>
      </x:c>
    </x:row>
    <x:row r="237" ht="26" customHeight="1">
      <x:c r="A237" s="2" t="str">
        <x:v>O236</x:v>
      </x:c>
      <x:c r="B237" s="7" t="d">
        <x:v>2026-09-12T00:00:00.000Z</x:v>
      </x:c>
      <x:c r="C237" s="2" t="str">
        <x:v>Рюкзак</x:v>
      </x:c>
      <x:c r="D237" s="2" t="str">
        <x:v>Маркетплейс</x:v>
      </x:c>
      <x:c r="E237" s="29" t="n">
        <x:v>1</x:v>
      </x:c>
      <x:c r="F237" s="8" t="n">
        <x:v>3600</x:v>
      </x:c>
      <x:c r="G237" s="8" t="n">
        <x:v>432</x:v>
      </x:c>
      <x:c r="H237" s="8" t="n">
        <x:v>1900</x:v>
      </x:c>
      <x:c r="I237" s="2" t="str">
        <x:v>оплачен</x:v>
      </x:c>
      <x:c r="J237" s="8" t="n">
        <x:f>IF(I237="оплачен",E237*F237-G237,0)</x:f>
        <x:v>3168</x:v>
      </x:c>
      <x:c r="K237" s="8" t="n">
        <x:f>IF(I237="оплачен",E237*H237,0)</x:f>
        <x:v>1900</x:v>
      </x:c>
      <x:c r="L237" s="8" t="n">
        <x:f>J237-K237</x:f>
        <x:v>1268</x:v>
      </x:c>
      <x:c r="M237" s="2" t="str">
        <x:f>TEXT(B237,"yyyy-mm")</x:f>
        <x:v>2026-09</x:v>
      </x:c>
    </x:row>
    <x:row r="238" ht="26" customHeight="1">
      <x:c r="A238" s="2" t="str">
        <x:v>O237</x:v>
      </x:c>
      <x:c r="B238" s="7" t="d">
        <x:v>2026-09-13T00:00:00.000Z</x:v>
      </x:c>
      <x:c r="C238" s="2" t="str">
        <x:v>Настольная лампа</x:v>
      </x:c>
      <x:c r="D238" s="2" t="str">
        <x:v>Соцсети</x:v>
      </x:c>
      <x:c r="E238" s="29" t="n">
        <x:v>1</x:v>
      </x:c>
      <x:c r="F238" s="8" t="n">
        <x:v>2900</x:v>
      </x:c>
      <x:c r="G238" s="8" t="n">
        <x:v>87</x:v>
      </x:c>
      <x:c r="H238" s="8" t="n">
        <x:v>1700</x:v>
      </x:c>
      <x:c r="I238" s="2" t="str">
        <x:v>оплачен</x:v>
      </x:c>
      <x:c r="J238" s="8" t="n">
        <x:f>IF(I238="оплачен",E238*F238-G238,0)</x:f>
        <x:v>2813</x:v>
      </x:c>
      <x:c r="K238" s="8" t="n">
        <x:f>IF(I238="оплачен",E238*H238,0)</x:f>
        <x:v>1700</x:v>
      </x:c>
      <x:c r="L238" s="8" t="n">
        <x:f>J238-K238</x:f>
        <x:v>1113</x:v>
      </x:c>
      <x:c r="M238" s="2" t="str">
        <x:f>TEXT(B238,"yyyy-mm")</x:f>
        <x:v>2026-09</x:v>
      </x:c>
    </x:row>
    <x:row r="239" ht="26" customHeight="1">
      <x:c r="A239" s="2" t="str">
        <x:v>O238</x:v>
      </x:c>
      <x:c r="B239" s="7" t="d">
        <x:v>2026-09-14T00:00:00.000Z</x:v>
      </x:c>
      <x:c r="C239" s="2" t="str">
        <x:v>Рюкзак</x:v>
      </x:c>
      <x:c r="D239" s="2" t="str">
        <x:v>Маркетплейс</x:v>
      </x:c>
      <x:c r="E239" s="29" t="n">
        <x:v>4</x:v>
      </x:c>
      <x:c r="F239" s="8" t="n">
        <x:v>3600</x:v>
      </x:c>
      <x:c r="G239" s="8" t="n">
        <x:v>1728</x:v>
      </x:c>
      <x:c r="H239" s="8" t="n">
        <x:v>1900</x:v>
      </x:c>
      <x:c r="I239" s="2" t="str">
        <x:v>оплачен</x:v>
      </x:c>
      <x:c r="J239" s="8" t="n">
        <x:f>IF(I239="оплачен",E239*F239-G239,0)</x:f>
        <x:v>12672</x:v>
      </x:c>
      <x:c r="K239" s="8" t="n">
        <x:f>IF(I239="оплачен",E239*H239,0)</x:f>
        <x:v>7600</x:v>
      </x:c>
      <x:c r="L239" s="8" t="n">
        <x:f>J239-K239</x:f>
        <x:v>5072</x:v>
      </x:c>
      <x:c r="M239" s="2" t="str">
        <x:f>TEXT(B239,"yyyy-mm")</x:f>
        <x:v>2026-09</x:v>
      </x:c>
    </x:row>
    <x:row r="240" ht="26" customHeight="1">
      <x:c r="A240" s="2" t="str">
        <x:v>O239</x:v>
      </x:c>
      <x:c r="B240" s="7" t="d">
        <x:v>2026-09-15T00:00:00.000Z</x:v>
      </x:c>
      <x:c r="C240" s="2" t="str">
        <x:v>Планер</x:v>
      </x:c>
      <x:c r="D240" s="2" t="str">
        <x:v>Соцсети</x:v>
      </x:c>
      <x:c r="E240" s="29" t="n">
        <x:v>2</x:v>
      </x:c>
      <x:c r="F240" s="8" t="n">
        <x:v>800</x:v>
      </x:c>
      <x:c r="G240" s="8" t="n">
        <x:v>48</x:v>
      </x:c>
      <x:c r="H240" s="8" t="n">
        <x:v>280</x:v>
      </x:c>
      <x:c r="I240" s="2" t="str">
        <x:v>возвращён</x:v>
      </x:c>
      <x:c r="J240" s="8" t="n">
        <x:f>IF(I240="оплачен",E240*F240-G240,0)</x:f>
        <x:v>0</x:v>
      </x:c>
      <x:c r="K240" s="8" t="n">
        <x:f>IF(I240="оплачен",E240*H240,0)</x:f>
        <x:v>0</x:v>
      </x:c>
      <x:c r="L240" s="8" t="n">
        <x:f>J240-K240</x:f>
        <x:v>0</x:v>
      </x:c>
      <x:c r="M240" s="2" t="str">
        <x:f>TEXT(B240,"yyyy-mm")</x:f>
        <x:v>2026-09</x:v>
      </x:c>
    </x:row>
    <x:row r="241" ht="26" customHeight="1">
      <x:c r="A241" s="2" t="str">
        <x:v>O240</x:v>
      </x:c>
      <x:c r="B241" s="7" t="d">
        <x:v>2026-09-16T00:00:00.000Z</x:v>
      </x:c>
      <x:c r="C241" s="2" t="str">
        <x:v>Термокружка</x:v>
      </x:c>
      <x:c r="D241" s="2" t="str">
        <x:v>Маркетплейс</x:v>
      </x:c>
      <x:c r="E241" s="29" t="n">
        <x:v>1</x:v>
      </x:c>
      <x:c r="F241" s="8" t="n">
        <x:v>1600</x:v>
      </x:c>
      <x:c r="G241" s="8" t="n">
        <x:v>192</x:v>
      </x:c>
      <x:c r="H241" s="8" t="n">
        <x:v>650</x:v>
      </x:c>
      <x:c r="I241" s="2" t="str">
        <x:v>оплачен</x:v>
      </x:c>
      <x:c r="J241" s="8" t="n">
        <x:f>IF(I241="оплачен",E241*F241-G241,0)</x:f>
        <x:v>1408</x:v>
      </x:c>
      <x:c r="K241" s="8" t="n">
        <x:f>IF(I241="оплачен",E241*H241,0)</x:f>
        <x:v>650</x:v>
      </x:c>
      <x:c r="L241" s="8" t="n">
        <x:f>J241-K241</x:f>
        <x:v>758</x:v>
      </x:c>
      <x:c r="M241" s="2" t="str">
        <x:f>TEXT(B241,"yyyy-mm")</x:f>
        <x:v>2026-09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Pr>
    <x:tabColor rgb="FFFF6B00"/>
  </x:sheetPr>
  <x:sheetViews>
    <x:sheetView showGridLines="0" workbookViewId="0"/>
  </x:sheetViews>
  <x:sheetFormatPr defaultRowHeight="15"/>
  <x:cols>
    <x:col min="1" max="1" width="45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 ht="34" customHeight="1">
      <x:c r="A1" s="6" t="str">
        <x:v>Создайте здесь нативную сводную таблицу</x:v>
      </x:c>
    </x:row>
    <x:row r="2" ht="26" customHeight="1">
      <x:c r="A2" s="2" t="str">
        <x:v>Источник: 09_Заказы; строки — месяц, столбцы — канал, значения — выручка.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Pr>
    <x:tabColor rgb="FF19212B"/>
  </x:sheetPr>
  <x:sheetViews>
    <x:sheetView showGridLines="0" workbookViewId="0"/>
  </x:sheetViews>
  <x:sheetFormatPr defaultRowHeight="15"/>
  <x:cols>
    <x:col min="1" max="1" width="42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 ht="34" customHeight="1">
      <x:c r="A1" s="6" t="str">
        <x:v>Месяц</x:v>
      </x:c>
      <x:c r="B1" s="6" t="str">
        <x:v>Маркетплейс</x:v>
      </x:c>
      <x:c r="C1" s="6" t="str">
        <x:v>Соцсети</x:v>
      </x:c>
      <x:c r="D1" s="6" t="str">
        <x:v>Сайт</x:v>
      </x:c>
      <x:c r="E1" s="6" t="str">
        <x:v>Итого</x:v>
      </x:c>
    </x:row>
    <x:row r="2" ht="26" customHeight="1">
      <x:c r="A2" s="2" t="str">
        <x:v>2026-07</x:v>
      </x:c>
      <x:c r="B2" s="8" t="n">
        <x:f>SUMIFS('09_Заказы'!$J$2:$J$241,'09_Заказы'!$M$2:$M$241,$A2,'09_Заказы'!$D$2:$D$241,B$1)</x:f>
        <x:v>128568</x:v>
      </x:c>
      <x:c r="C2" s="8" t="n">
        <x:f>SUMIFS('09_Заказы'!$J$2:$J$241,'09_Заказы'!$M$2:$M$241,$A2,'09_Заказы'!$D$2:$D$241,C$1)</x:f>
        <x:v>135024</x:v>
      </x:c>
      <x:c r="D2" s="8" t="n">
        <x:f>SUMIFS('09_Заказы'!$J$2:$J$241,'09_Заказы'!$M$2:$M$241,$A2,'09_Заказы'!$D$2:$D$241,D$1)</x:f>
        <x:v>62043</x:v>
      </x:c>
      <x:c r="E2" s="8" t="n">
        <x:f>SUM(B2:D2)</x:f>
        <x:v>325635</x:v>
      </x:c>
    </x:row>
    <x:row r="3" ht="26" customHeight="1">
      <x:c r="A3" s="2" t="str">
        <x:v>2026-08</x:v>
      </x:c>
      <x:c r="B3" s="8" t="n">
        <x:f>SUMIFS('09_Заказы'!$J$2:$J$241,'09_Заказы'!$M$2:$M$241,$A3,'09_Заказы'!$D$2:$D$241,B$1)</x:f>
        <x:v>154440</x:v>
      </x:c>
      <x:c r="C3" s="8" t="n">
        <x:f>SUMIFS('09_Заказы'!$J$2:$J$241,'09_Заказы'!$M$2:$M$241,$A3,'09_Заказы'!$D$2:$D$241,C$1)</x:f>
        <x:v>80995</x:v>
      </x:c>
      <x:c r="D3" s="8" t="n">
        <x:f>SUMIFS('09_Заказы'!$J$2:$J$241,'09_Заказы'!$M$2:$M$241,$A3,'09_Заказы'!$D$2:$D$241,D$1)</x:f>
        <x:v>35793</x:v>
      </x:c>
      <x:c r="E3" s="8" t="n">
        <x:f>SUM(B3:D3)</x:f>
        <x:v>271228</x:v>
      </x:c>
    </x:row>
    <x:row r="4" ht="26" customHeight="1">
      <x:c r="A4" s="2" t="str">
        <x:v>2026-09</x:v>
      </x:c>
      <x:c r="B4" s="8" t="n">
        <x:f>SUMIFS('09_Заказы'!$J$2:$J$241,'09_Заказы'!$M$2:$M$241,$A4,'09_Заказы'!$D$2:$D$241,B$1)</x:f>
        <x:v>139920</x:v>
      </x:c>
      <x:c r="C4" s="8" t="n">
        <x:f>SUMIFS('09_Заказы'!$J$2:$J$241,'09_Заказы'!$M$2:$M$241,$A4,'09_Заказы'!$D$2:$D$241,C$1)</x:f>
        <x:v>103499</x:v>
      </x:c>
      <x:c r="D4" s="8" t="n">
        <x:f>SUMIFS('09_Заказы'!$J$2:$J$241,'09_Заказы'!$M$2:$M$241,$A4,'09_Заказы'!$D$2:$D$241,D$1)</x:f>
        <x:v>102529</x:v>
      </x:c>
      <x:c r="E4" s="8" t="n">
        <x:f>SUM(B4:D4)</x:f>
        <x:v>345948</x:v>
      </x:c>
    </x:row>
    <x:row r="5" ht="26" customHeight="1">
      <x:c r="A5" s="2" t="str">
        <x:v>Итого</x:v>
      </x:c>
      <x:c r="B5" s="8" t="n">
        <x:f>SUM(B2:B4)</x:f>
        <x:v>422928</x:v>
      </x:c>
      <x:c r="C5" s="8" t="n">
        <x:f>SUM(C2:C4)</x:f>
        <x:v>319518</x:v>
      </x:c>
      <x:c r="D5" s="8" t="n">
        <x:f>SUM(D2:D4)</x:f>
        <x:v>200365</x:v>
      </x:c>
      <x:c r="E5" s="8" t="n">
        <x:f>SUM(E2:E4)</x:f>
        <x:v>942811</x:v>
      </x:c>
    </x:row>
    <x:row r="6" ht="26" customHeight="1">
      <x:c r="A6" s="2"/>
      <x:c r="B6" s="8"/>
      <x:c r="C6" s="8"/>
      <x:c r="D6" s="8"/>
      <x:c r="E6" s="8"/>
    </x:row>
    <x:row r="7" ht="26" customHeight="1">
      <x:c r="A7" s="2" t="str">
        <x:v>В XLSX показана сводка формулами SUMIFS; нативная сводная — в Google книге.</x:v>
      </x:c>
      <x:c r="B7" s="8"/>
      <x:c r="C7" s="8"/>
      <x:c r="D7" s="8"/>
      <x:c r="E7" s="8"/>
    </x:row>
  </x:sheetData>
  <x:pageMargins left="0.7" right="0.7" top="0.75" bottom="0.75" header="0.3" footer="0.3"/>
  <x:drawing xmlns:r="http://schemas.openxmlformats.org/officeDocument/2006/relationships" r:id="R54f0c9a230f549bf"/>
</x:worksheet>
</file>

<file path=xl/worksheets/sheet17.xml><?xml version="1.0" encoding="utf-8"?>
<x:worksheet xmlns:x="http://schemas.openxmlformats.org/spreadsheetml/2006/main">
  <x:sheetPr>
    <x:tabColor rgb="FF19212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</x:cols>
  <x:sheetData>
    <x:row r="1" ht="38" customHeight="1">
      <x:c r="A1" s="33" t="str">
        <x:v>Продажи магазина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  <x:c r="L1" s="11"/>
    </x:row>
    <x:row r="2" ht="24" customHeight="1">
      <x:c r="A2" s="34" t="str">
        <x:v>Июль–сентябрь 2026 · суммы в рублях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3" ht="24" customHeight="1">
      <x:c r="A3" s="12" t="str">
        <x:v>Месяц</x:v>
      </x:c>
      <x:c r="B3" s="35" t="str">
        <x:v>Все</x:v>
      </x:c>
      <x:c r="C3" s="35"/>
      <x:c r="D3" s="35"/>
      <x:c r="E3" s="12"/>
      <x:c r="F3" s="12" t="str">
        <x:v>Канал</x:v>
      </x:c>
      <x:c r="G3" s="35" t="str">
        <x:v>Все</x:v>
      </x:c>
      <x:c r="H3" s="35"/>
      <x:c r="I3" s="35"/>
      <x:c r="J3" s="12"/>
      <x:c r="K3" s="12"/>
      <x:c r="L3" s="12"/>
    </x:row>
    <x:row r="4" ht="24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</x:row>
    <x:row r="5" ht="24" customHeight="1">
      <x:c r="A5" s="38" t="str">
        <x:v>Оплаченные заказы</x:v>
      </x:c>
      <x:c r="B5" s="36"/>
      <x:c r="C5" s="36"/>
      <x:c r="D5" s="38" t="str">
        <x:v>Выручка, ₽</x:v>
      </x:c>
      <x:c r="E5" s="36"/>
      <x:c r="F5" s="36"/>
      <x:c r="G5" s="38" t="str">
        <x:v>Средний чек, ₽</x:v>
      </x:c>
      <x:c r="H5" s="36"/>
      <x:c r="I5" s="36"/>
      <x:c r="J5" s="38" t="str">
        <x:v>Валовая прибыль, ₽</x:v>
      </x:c>
      <x:c r="K5" s="36"/>
      <x:c r="L5" s="36"/>
    </x:row>
    <x:row r="6" ht="24" customHeight="1">
      <x:c r="A6" s="41" t="n">
        <x:f>COUNTIFS('09_Заказы'!$I$2:$I$241,"оплачен",'09_Заказы'!$M$2:$M$241,IF($B$3="Все","*",$B$3),'09_Заказы'!$D$2:$D$241,IF($G$3="Все","*",$G$3))</x:f>
        <x:v>209</x:v>
      </x:c>
      <x:c r="B6" s="36"/>
      <x:c r="C6" s="36"/>
      <x:c r="D6" s="42" t="n">
        <x:f>SUMIFS('09_Заказы'!$J$2:$J$241,'09_Заказы'!$M$2:$M$241,IF($B$3="Все","*",$B$3),'09_Заказы'!$D$2:$D$241,IF($G$3="Все","*",$G$3))</x:f>
        <x:v>942811</x:v>
      </x:c>
      <x:c r="E6" s="36"/>
      <x:c r="F6" s="36"/>
      <x:c r="G6" s="42" t="n">
        <x:f>IF(A6=0,0,D6/A6)</x:f>
        <x:v>4511.057416267942</x:v>
      </x:c>
      <x:c r="H6" s="36"/>
      <x:c r="I6" s="36"/>
      <x:c r="J6" s="42" t="n">
        <x:f>SUMIFS('09_Заказы'!$L$2:$L$241,'09_Заказы'!$M$2:$M$241,IF($B$3="Все","*",$B$3),'09_Заказы'!$D$2:$D$241,IF($G$3="Все","*",$G$3))</x:f>
        <x:v>431461</x:v>
      </x:c>
      <x:c r="K6" s="36"/>
      <x:c r="L6" s="36"/>
    </x:row>
    <x:row r="7" ht="24" customHeight="1">
      <x:c r="A7" s="36"/>
      <x:c r="B7" s="37"/>
      <x:c r="C7" s="36"/>
      <x:c r="D7" s="36"/>
      <x:c r="E7" s="36"/>
      <x:c r="F7" s="36"/>
      <x:c r="G7" s="36"/>
      <x:c r="H7" s="36"/>
      <x:c r="I7" s="36"/>
      <x:c r="J7" s="36"/>
      <x:c r="K7" s="36"/>
      <x:c r="L7" s="36"/>
    </x:row>
    <x:row r="8" ht="24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</x:row>
    <x:row r="9" ht="24" customHeight="1">
      <x:c r="A9" s="34" t="str">
        <x:v>Все элементы ниже реагируют на оба фильтра.</x:v>
      </x:c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</x:row>
    <x:row r="10" ht="24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</x:row>
    <x:row r="11" ht="24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</x:row>
    <x:row r="12" ht="24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</x:row>
    <x:row r="13" ht="24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</x:row>
    <x:row r="14" ht="24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</x:row>
    <x:row r="15" ht="24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</x:row>
    <x:row r="16" ht="24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</x:row>
    <x:row r="17" ht="24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</x:row>
    <x:row r="18" ht="24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</x:row>
    <x:row r="19" ht="24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</x:row>
    <x:row r="20" ht="24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</x:row>
    <x:row r="21" ht="24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</x:row>
    <x:row r="22" ht="24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</x:row>
    <x:row r="23" ht="24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</x:row>
    <x:row r="24" ht="24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</x:row>
    <x:row r="25" ht="24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</x:row>
    <x:row r="26" ht="24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</x:row>
    <x:row r="27" ht="24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</x:row>
    <x:row r="28" ht="24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</x:row>
    <x:row r="29" ht="24" customHeight="1">
      <x:c r="A29" s="12"/>
      <x:c r="B29" s="43"/>
      <x:c r="C29" s="43"/>
      <x:c r="D29" s="12"/>
      <x:c r="E29" s="12"/>
      <x:c r="F29" s="12"/>
      <x:c r="G29" s="12"/>
      <x:c r="H29" s="12"/>
      <x:c r="I29" s="12"/>
      <x:c r="J29" s="12"/>
      <x:c r="K29" s="12"/>
      <x:c r="L29" s="12"/>
    </x:row>
    <x:row r="30" ht="24" customHeight="1">
      <x:c r="A30" s="12"/>
      <x:c r="B30" s="43"/>
      <x:c r="C30" s="43"/>
      <x:c r="D30" s="12"/>
      <x:c r="E30" s="12"/>
      <x:c r="F30" s="12"/>
      <x:c r="G30" s="12"/>
      <x:c r="H30" s="12"/>
      <x:c r="I30" s="12"/>
      <x:c r="J30" s="12"/>
      <x:c r="K30" s="12"/>
      <x:c r="L30" s="12"/>
    </x:row>
    <x:row r="31" ht="24" customHeight="1">
      <x:c r="A31" s="12"/>
      <x:c r="B31" s="43"/>
      <x:c r="C31" s="43"/>
      <x:c r="D31" s="12"/>
      <x:c r="E31" s="12"/>
      <x:c r="F31" s="12"/>
      <x:c r="G31" s="12"/>
      <x:c r="H31" s="12"/>
      <x:c r="I31" s="12"/>
      <x:c r="J31" s="12"/>
      <x:c r="K31" s="12"/>
      <x:c r="L31" s="12"/>
    </x:row>
    <x:row r="32" ht="24" customHeight="1">
      <x:c r="A32" s="12"/>
      <x:c r="B32" s="43"/>
      <x:c r="C32" s="43"/>
      <x:c r="D32" s="12"/>
      <x:c r="E32" s="12"/>
      <x:c r="F32" s="12"/>
      <x:c r="G32" s="12"/>
      <x:c r="H32" s="12"/>
      <x:c r="I32" s="12"/>
      <x:c r="J32" s="12"/>
      <x:c r="K32" s="12"/>
      <x:c r="L32" s="12"/>
    </x:row>
    <x:row r="33" ht="24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</x:row>
    <x:row r="34" ht="24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</x:row>
    <x:row r="35" ht="24" customHeight="1">
      <x:c r="A35" s="14" t="str">
        <x:v>Валовая прибыль = оплаченная выручка минус себестоимость.</x:v>
      </x:c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</x:row>
    <x:row r="36" ht="24" customHeight="1">
      <x:c r="A36" s="14" t="str">
        <x:v>Реклама, аренда и налоги в этой сумме не учтены.</x:v>
      </x:c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</x:row>
    <x:row r="37" ht="24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</x:row>
    <x:row r="38" ht="24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</x:row>
    <x:row r="39" ht="24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</x:row>
    <x:row r="40" ht="24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</x:row>
    <x:row r="41" ht="24" customHeight="1">
      <x:c r="A41" s="12" t="str">
        <x:v>Расчётные данные диаграмм</x:v>
      </x:c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</x:row>
    <x:row r="42" ht="24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</x:row>
    <x:row r="43" ht="24" customHeight="1">
      <x:c r="A43" s="5" t="str">
        <x:v>Месяц</x:v>
      </x:c>
      <x:c r="B43" s="5" t="str">
        <x:v>Выручка, ₽</x:v>
      </x:c>
      <x:c r="C43" s="5" t="str">
        <x:v>Валовая прибыль, ₽</x:v>
      </x:c>
      <x:c r="D43" s="12"/>
      <x:c r="E43" s="12"/>
      <x:c r="F43" s="12"/>
      <x:c r="G43" s="12"/>
      <x:c r="H43" s="12"/>
      <x:c r="I43" s="12"/>
      <x:c r="J43" s="12"/>
      <x:c r="K43" s="12"/>
      <x:c r="L43" s="12"/>
    </x:row>
    <x:row r="44" ht="24" customHeight="1">
      <x:c r="A44" s="12" t="str">
        <x:v>2026-07</x:v>
      </x:c>
      <x:c r="B44" s="12" t="n">
        <x:f>IF(OR($B$3="Все",$B$3=A44),SUMIFS('09_Заказы'!$J$2:$J$241,'09_Заказы'!$M$2:$M$241,A44,'09_Заказы'!$D$2:$D$241,IF($G$3="Все","*",$G$3)),0)</x:f>
        <x:v>325635</x:v>
      </x:c>
      <x:c r="C44" s="12" t="n">
        <x:f>IF(OR($B$3="Все",$B$3=A44),SUMIFS('09_Заказы'!$L$2:$L$241,'09_Заказы'!$M$2:$M$241,A44,'09_Заказы'!$D$2:$D$241,IF($G$3="Все","*",$G$3)),0)</x:f>
        <x:v>151585</x:v>
      </x:c>
      <x:c r="D44" s="12"/>
      <x:c r="E44" s="12"/>
      <x:c r="F44" s="12"/>
      <x:c r="G44" s="12"/>
      <x:c r="H44" s="12"/>
      <x:c r="I44" s="12"/>
      <x:c r="J44" s="12"/>
      <x:c r="K44" s="12"/>
      <x:c r="L44" s="12"/>
    </x:row>
    <x:row r="45" ht="24" customHeight="1">
      <x:c r="A45" s="12" t="str">
        <x:v>2026-08</x:v>
      </x:c>
      <x:c r="B45" s="12" t="n">
        <x:f>IF(OR($B$3="Все",$B$3=A45),SUMIFS('09_Заказы'!$J$2:$J$241,'09_Заказы'!$M$2:$M$241,A45,'09_Заказы'!$D$2:$D$241,IF($G$3="Все","*",$G$3)),0)</x:f>
        <x:v>271228</x:v>
      </x:c>
      <x:c r="C45" s="12" t="n">
        <x:f>IF(OR($B$3="Все",$B$3=A45),SUMIFS('09_Заказы'!$L$2:$L$241,'09_Заказы'!$M$2:$M$241,A45,'09_Заказы'!$D$2:$D$241,IF($G$3="Все","*",$G$3)),0)</x:f>
        <x:v>122258</x:v>
      </x:c>
      <x:c r="D45" s="12"/>
      <x:c r="E45" s="12"/>
      <x:c r="F45" s="12"/>
      <x:c r="G45" s="12"/>
      <x:c r="H45" s="12"/>
      <x:c r="I45" s="12"/>
      <x:c r="J45" s="12"/>
      <x:c r="K45" s="12"/>
      <x:c r="L45" s="12"/>
    </x:row>
    <x:row r="46" ht="24" customHeight="1">
      <x:c r="A46" s="12" t="str">
        <x:v>2026-09</x:v>
      </x:c>
      <x:c r="B46" s="12" t="n">
        <x:f>IF(OR($B$3="Все",$B$3=A46),SUMIFS('09_Заказы'!$J$2:$J$241,'09_Заказы'!$M$2:$M$241,A46,'09_Заказы'!$D$2:$D$241,IF($G$3="Все","*",$G$3)),0)</x:f>
        <x:v>345948</x:v>
      </x:c>
      <x:c r="C46" s="12" t="n">
        <x:f>IF(OR($B$3="Все",$B$3=A46),SUMIFS('09_Заказы'!$L$2:$L$241,'09_Заказы'!$M$2:$M$241,A46,'09_Заказы'!$D$2:$D$241,IF($G$3="Все","*",$G$3)),0)</x:f>
        <x:v>157618</x:v>
      </x:c>
      <x:c r="D46" s="12"/>
      <x:c r="E46" s="12"/>
      <x:c r="F46" s="12"/>
      <x:c r="G46" s="12"/>
      <x:c r="H46" s="12"/>
      <x:c r="I46" s="12"/>
      <x:c r="J46" s="12"/>
      <x:c r="K46" s="12"/>
      <x:c r="L46" s="12"/>
    </x:row>
    <x:row r="47" ht="24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</x:row>
    <x:row r="48" ht="24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</x:row>
    <x:row r="49" ht="24" customHeight="1">
      <x:c r="A49" s="5" t="str">
        <x:v>Канал</x:v>
      </x:c>
      <x:c r="B49" s="5" t="str">
        <x:v>Выручка, ₽</x:v>
      </x:c>
      <x:c r="C49" s="5" t="str">
        <x:v>Валовая прибыль, ₽</x:v>
      </x:c>
      <x:c r="D49" s="12"/>
      <x:c r="E49" s="12"/>
      <x:c r="F49" s="12"/>
      <x:c r="G49" s="12"/>
      <x:c r="H49" s="12"/>
      <x:c r="I49" s="12"/>
      <x:c r="J49" s="12"/>
      <x:c r="K49" s="12"/>
      <x:c r="L49" s="12"/>
    </x:row>
    <x:row r="50" ht="24" customHeight="1">
      <x:c r="A50" s="12" t="str">
        <x:v>Маркетплейс</x:v>
      </x:c>
      <x:c r="B50" s="12" t="n">
        <x:f>IF(OR($G$3="Все",$G$3=A50),SUMIFS('09_Заказы'!$J$2:$J$241,'09_Заказы'!$D$2:$D$241,A50,'09_Заказы'!$M$2:$M$241,IF($B$3="Все","*",$B$3)),0)</x:f>
        <x:v>422928</x:v>
      </x:c>
      <x:c r="C50" s="12" t="n">
        <x:f>IF(OR($G$3="Все",$G$3=A50),SUMIFS('09_Заказы'!$L$2:$L$241,'09_Заказы'!$D$2:$D$241,A50,'09_Заказы'!$M$2:$M$241,IF($B$3="Все","*",$B$3)),0)</x:f>
        <x:v>182348</x:v>
      </x:c>
      <x:c r="D50" s="12"/>
      <x:c r="E50" s="12"/>
      <x:c r="F50" s="12"/>
      <x:c r="G50" s="12"/>
      <x:c r="H50" s="12"/>
      <x:c r="I50" s="12"/>
      <x:c r="J50" s="12"/>
      <x:c r="K50" s="12"/>
      <x:c r="L50" s="12"/>
    </x:row>
    <x:row r="51" ht="24" customHeight="1">
      <x:c r="A51" s="12" t="str">
        <x:v>Соцсети</x:v>
      </x:c>
      <x:c r="B51" s="12" t="n">
        <x:f>IF(OR($G$3="Все",$G$3=A51),SUMIFS('09_Заказы'!$J$2:$J$241,'09_Заказы'!$D$2:$D$241,A51,'09_Заказы'!$M$2:$M$241,IF($B$3="Все","*",$B$3)),0)</x:f>
        <x:v>319518</x:v>
      </x:c>
      <x:c r="C51" s="12" t="n">
        <x:f>IF(OR($G$3="Все",$G$3=A51),SUMIFS('09_Заказы'!$L$2:$L$241,'09_Заказы'!$D$2:$D$241,A51,'09_Заказы'!$M$2:$M$241,IF($B$3="Все","*",$B$3)),0)</x:f>
        <x:v>149368</x:v>
      </x:c>
      <x:c r="D51" s="12"/>
      <x:c r="E51" s="12"/>
      <x:c r="F51" s="12"/>
      <x:c r="G51" s="12"/>
      <x:c r="H51" s="12"/>
      <x:c r="I51" s="12"/>
      <x:c r="J51" s="12"/>
      <x:c r="K51" s="12"/>
      <x:c r="L51" s="12"/>
    </x:row>
    <x:row r="52" ht="24" customHeight="1">
      <x:c r="A52" s="12" t="str">
        <x:v>Сайт</x:v>
      </x:c>
      <x:c r="B52" s="12" t="n">
        <x:f>IF(OR($G$3="Все",$G$3=A52),SUMIFS('09_Заказы'!$J$2:$J$241,'09_Заказы'!$D$2:$D$241,A52,'09_Заказы'!$M$2:$M$241,IF($B$3="Все","*",$B$3)),0)</x:f>
        <x:v>200365</x:v>
      </x:c>
      <x:c r="C52" s="12" t="n">
        <x:f>IF(OR($G$3="Все",$G$3=A52),SUMIFS('09_Заказы'!$L$2:$L$241,'09_Заказы'!$D$2:$D$241,A52,'09_Заказы'!$M$2:$M$241,IF($B$3="Все","*",$B$3)),0)</x:f>
        <x:v>99745</x:v>
      </x:c>
      <x:c r="D52" s="12"/>
      <x:c r="E52" s="12"/>
      <x:c r="F52" s="12"/>
      <x:c r="G52" s="12"/>
      <x:c r="H52" s="12"/>
      <x:c r="I52" s="12"/>
      <x:c r="J52" s="12"/>
      <x:c r="K52" s="12"/>
      <x:c r="L52" s="12"/>
    </x:row>
    <x:row r="53" ht="24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</x:row>
    <x:row r="54" ht="24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</x:row>
    <x:row r="55" ht="24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</x:row>
    <x:row r="56" ht="24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</x:row>
    <x:row r="57" ht="24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</x:row>
    <x:row r="58" ht="24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</x:row>
    <x:row r="59" ht="24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</x:row>
    <x:row r="60" ht="24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</x:row>
  </x:sheetData>
  <x:mergeCells>
    <x:mergeCell ref="A1:L1"/>
    <x:mergeCell ref="A2:L2"/>
    <x:mergeCell ref="B3:D3"/>
    <x:mergeCell ref="G3:I3"/>
    <x:mergeCell ref="A9:L9"/>
    <x:mergeCell ref="A27:L27"/>
    <x:mergeCell ref="A35:L35"/>
    <x:mergeCell ref="A36:L36"/>
    <x:mergeCell ref="A41:L41"/>
    <x:mergeCell ref="A5:C5"/>
    <x:mergeCell ref="A6:C7"/>
    <x:mergeCell ref="D5:F5"/>
    <x:mergeCell ref="D6:F7"/>
    <x:mergeCell ref="G5:I5"/>
    <x:mergeCell ref="G6:I7"/>
    <x:mergeCell ref="J5:L5"/>
    <x:mergeCell ref="J6:L7"/>
  </x:mergeCells>
  <x:dataValidations count="2">
    <x:dataValidation type="list" sqref="B3">
      <x:formula1>"Все,2026-07,2026-08,2026-09"</x:formula1>
    </x:dataValidation>
    <x:dataValidation type="list" sqref="G3">
      <x:formula1>"Все,Маркетплейс,Соцсети,Сайт"</x:formula1>
    </x:dataValidation>
  </x:dataValidations>
  <x:pageMargins left="0.7" right="0.7" top="0.75" bottom="0.75" header="0.3" footer="0.3"/>
  <x:drawing xmlns:r="http://schemas.openxmlformats.org/officeDocument/2006/relationships" r:id="Re68a82cf18384d0c"/>
</x:worksheet>
</file>

<file path=xl/worksheets/sheet18.xml><?xml version="1.0" encoding="utf-8"?>
<x:worksheet xmlns:x="http://schemas.openxmlformats.org/spreadsheetml/2006/main">
  <x:sheetPr>
    <x:tabColor rgb="FF19212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50" hidden="0" customWidth="1"/>
    <x:col min="4" max="4" width="32" hidden="0" customWidth="1"/>
    <x:col min="5" max="5" width="20" hidden="0" customWidth="1"/>
    <x:col min="6" max="6" width="23" hidden="0" customWidth="1"/>
    <x:col min="7" max="7" width="18" hidden="0" customWidth="1"/>
    <x:col min="8" max="8" width="15" hidden="0" customWidth="1"/>
  </x:cols>
  <x:sheetData>
    <x:row r="1" ht="34" customHeight="1">
      <x:c r="A1" s="6" t="str">
        <x:v>ID</x:v>
      </x:c>
      <x:c r="B1" s="6" t="str">
        <x:v>Дата</x:v>
      </x:c>
      <x:c r="C1" s="6" t="str">
        <x:v>Описание</x:v>
      </x:c>
      <x:c r="D1" s="6" t="str">
        <x:v>Тип_операции</x:v>
      </x:c>
      <x:c r="E1" s="6" t="str">
        <x:v>Сумма_руб</x:v>
      </x:c>
      <x:c r="F1" s="6" t="str">
        <x:v>Категория</x:v>
      </x:c>
      <x:c r="G1" s="6" t="str">
        <x:v>Регулярность</x:v>
      </x:c>
      <x:c r="H1" s="6" t="str">
        <x:v>Месяц</x:v>
      </x:c>
    </x:row>
    <x:row r="2" ht="26" customHeight="1">
      <x:c r="A2" s="2" t="str">
        <x:v>T001</x:v>
      </x:c>
      <x:c r="B2" s="7" t="d">
        <x:v>2026-09-03T00:00:00.000Z</x:v>
      </x:c>
      <x:c r="C2" s="2" t="str">
        <x:v>3 сентября продукты 2450 руб</x:v>
      </x:c>
      <x:c r="D2" s="2" t="str">
        <x:v>расход</x:v>
      </x:c>
      <x:c r="E2" s="8" t="n">
        <x:v>2450</x:v>
      </x:c>
      <x:c r="F2" s="2" t="str">
        <x:v>Продукты</x:v>
      </x:c>
      <x:c r="G2" s="2" t="str">
        <x:v>нет</x:v>
      </x:c>
      <x:c r="H2" s="2" t="str">
        <x:f>TEXT(B2,"yyyy-mm")</x:f>
        <x:v>2026-09</x:v>
      </x:c>
    </x:row>
    <x:row r="3" ht="26" customHeight="1">
      <x:c r="A3" s="2" t="str">
        <x:v>T002</x:v>
      </x:c>
      <x:c r="B3" s="7" t="d">
        <x:v>2026-09-04T00:00:00.000Z</x:v>
      </x:c>
      <x:c r="C3" s="2" t="str">
        <x:v>04.09 такси 680</x:v>
      </x:c>
      <x:c r="D3" s="2" t="str">
        <x:v>расход</x:v>
      </x:c>
      <x:c r="E3" s="8" t="n">
        <x:v>680</x:v>
      </x:c>
      <x:c r="F3" s="2" t="str">
        <x:v>Транспорт</x:v>
      </x:c>
      <x:c r="G3" s="2" t="str">
        <x:v>нет</x:v>
      </x:c>
      <x:c r="H3" s="2" t="str">
        <x:f>TEXT(B3,"yyyy-mm")</x:f>
        <x:v>2026-09</x:v>
      </x:c>
    </x:row>
    <x:row r="4" ht="26" customHeight="1">
      <x:c r="A4" s="2" t="str">
        <x:v>T003</x:v>
      </x:c>
      <x:c r="B4" s="7" t="d">
        <x:v>2026-09-05T00:00:00.000Z</x:v>
      </x:c>
      <x:c r="C4" s="2" t="str">
        <x:v>5 сентября перевёл 10 тысяч на свой накопительный счёт</x:v>
      </x:c>
      <x:c r="D4" s="2" t="str">
        <x:v>перевод между своими счетами</x:v>
      </x:c>
      <x:c r="E4" s="8" t="n">
        <x:v>10000</x:v>
      </x:c>
      <x:c r="F4" s="2" t="str">
        <x:v>Перевод</x:v>
      </x:c>
      <x:c r="G4" s="2" t="str">
        <x:v>нет</x:v>
      </x:c>
      <x:c r="H4" s="2" t="str">
        <x:f>TEXT(B4,"yyyy-mm")</x:f>
        <x:v>2026-09</x:v>
      </x:c>
    </x:row>
    <x:row r="5" ht="26" customHeight="1">
      <x:c r="A5" s="2" t="str">
        <x:v>T004</x:v>
      </x:c>
      <x:c r="B5" s="7" t="d">
        <x:v>2026-09-06T00:00:00.000Z</x:v>
      </x:c>
      <x:c r="C5" s="2" t="str">
        <x:v>6 сентября вернули 1200 рублей за покупку</x:v>
      </x:c>
      <x:c r="D5" s="2" t="str">
        <x:v>возврат покупки</x:v>
      </x:c>
      <x:c r="E5" s="8" t="n">
        <x:v>1200</x:v>
      </x:c>
      <x:c r="F5" s="2" t="str">
        <x:v>Возврат</x:v>
      </x:c>
      <x:c r="G5" s="2" t="str">
        <x:v>нет</x:v>
      </x:c>
      <x:c r="H5" s="2" t="str">
        <x:f>TEXT(B5,"yyyy-mm")</x:f>
        <x:v>2026-09</x:v>
      </x:c>
    </x:row>
    <x:row r="6" ht="26" customHeight="1">
      <x:c r="A6" s="2" t="str">
        <x:v>T005</x:v>
      </x:c>
      <x:c r="B6" s="7" t="d">
        <x:v>2026-09-07T00:00:00.000Z</x:v>
      </x:c>
      <x:c r="C6" s="2" t="str">
        <x:v>7 сентября получил зарплату 85000</x:v>
      </x:c>
      <x:c r="D6" s="2" t="str">
        <x:v>доход</x:v>
      </x:c>
      <x:c r="E6" s="8" t="n">
        <x:v>85000</x:v>
      </x:c>
      <x:c r="F6" s="2" t="str">
        <x:v>Зарплата</x:v>
      </x:c>
      <x:c r="G6" s="2" t="str">
        <x:v>да</x:v>
      </x:c>
      <x:c r="H6" s="2" t="str">
        <x:f>TEXT(B6,"yyyy-mm")</x:f>
        <x:v>2026-09</x:v>
      </x:c>
    </x:row>
    <x:row r="7" ht="26" customHeight="1">
      <x:c r="A7" s="2" t="str">
        <x:v>T006</x:v>
      </x:c>
      <x:c r="B7" s="7" t="d">
        <x:v>2026-09-08T00:00:00.000Z</x:v>
      </x:c>
      <x:c r="C7" s="2" t="str">
        <x:v>8 сентября аренда квартиры 30000 руб</x:v>
      </x:c>
      <x:c r="D7" s="2" t="str">
        <x:v>расход</x:v>
      </x:c>
      <x:c r="E7" s="8" t="n">
        <x:v>30000</x:v>
      </x:c>
      <x:c r="F7" s="2" t="str">
        <x:v>Жильё</x:v>
      </x:c>
      <x:c r="G7" s="2" t="str">
        <x:v>да</x:v>
      </x:c>
      <x:c r="H7" s="2" t="str">
        <x:f>TEXT(B7,"yyyy-mm")</x:f>
        <x:v>2026-09</x:v>
      </x:c>
    </x:row>
    <x:row r="8" ht="26" customHeight="1">
      <x:c r="A8" s="2" t="str">
        <x:v>T007</x:v>
      </x:c>
      <x:c r="B8" s="7" t="d">
        <x:v>2026-09-10T00:00:00.000Z</x:v>
      </x:c>
      <x:c r="C8" s="2" t="str">
        <x:v>10 сентября кафе 1450</x:v>
      </x:c>
      <x:c r="D8" s="2" t="str">
        <x:v>расход</x:v>
      </x:c>
      <x:c r="E8" s="8" t="n">
        <x:v>1450</x:v>
      </x:c>
      <x:c r="F8" s="2" t="str">
        <x:v>Кафе</x:v>
      </x:c>
      <x:c r="G8" s="2" t="str">
        <x:v>нет</x:v>
      </x:c>
      <x:c r="H8" s="2" t="str">
        <x:f>TEXT(B8,"yyyy-mm")</x:f>
        <x:v>2026-09</x:v>
      </x:c>
    </x:row>
    <x:row r="9" ht="26" customHeight="1">
      <x:c r="A9" s="2" t="str">
        <x:v>T008</x:v>
      </x:c>
      <x:c r="B9" s="7" t="d">
        <x:v>2026-09-12T00:00:00.000Z</x:v>
      </x:c>
      <x:c r="C9" s="2" t="str">
        <x:v>12 сентября аптека 930 рублей</x:v>
      </x:c>
      <x:c r="D9" s="2" t="str">
        <x:v>расход</x:v>
      </x:c>
      <x:c r="E9" s="8" t="n">
        <x:v>930</x:v>
      </x:c>
      <x:c r="F9" s="2" t="str">
        <x:v>Здоровье</x:v>
      </x:c>
      <x:c r="G9" s="2" t="str">
        <x:v>нет</x:v>
      </x:c>
      <x:c r="H9" s="2" t="str">
        <x:f>TEXT(B9,"yyyy-mm")</x:f>
        <x:v>2026-09</x:v>
      </x:c>
    </x:row>
    <x:row r="10" ht="26" customHeight="1">
      <x:c r="A10" s="2" t="str">
        <x:v>T009</x:v>
      </x:c>
      <x:c r="B10" s="7" t="d">
        <x:v>2026-09-15T00:00:00.000Z</x:v>
      </x:c>
      <x:c r="C10" s="2" t="str">
        <x:v>15 сентября доставка еды 1790</x:v>
      </x:c>
      <x:c r="D10" s="2" t="str">
        <x:v>расход</x:v>
      </x:c>
      <x:c r="E10" s="8" t="n">
        <x:v>1790</x:v>
      </x:c>
      <x:c r="F10" s="2" t="str">
        <x:v>Доставка еды</x:v>
      </x:c>
      <x:c r="G10" s="2" t="str">
        <x:v>нет</x:v>
      </x:c>
      <x:c r="H10" s="2" t="str">
        <x:f>TEXT(B10,"yyyy-mm")</x:f>
        <x:v>2026-09</x:v>
      </x:c>
    </x:row>
    <x:row r="11" ht="26" customHeight="1">
      <x:c r="A11" s="2" t="str">
        <x:v>T010</x:v>
      </x:c>
      <x:c r="B11" s="7" t="d">
        <x:v>2026-09-19T00:00:00.000Z</x:v>
      </x:c>
      <x:c r="C11" s="2" t="str">
        <x:v>Вчера списали 499 рублей за подписку</x:v>
      </x:c>
      <x:c r="D11" s="2" t="str">
        <x:v>расход</x:v>
      </x:c>
      <x:c r="E11" s="8" t="n">
        <x:v>499</x:v>
      </x:c>
      <x:c r="F11" s="2" t="str">
        <x:v>Подписки</x:v>
      </x:c>
      <x:c r="G11" s="2" t="str">
        <x:v>да</x:v>
      </x:c>
      <x:c r="H11" s="2" t="str">
        <x:f>TEXT(B11,"yyyy-mm")</x:f>
        <x:v>2026-09</x:v>
      </x:c>
    </x:row>
    <x:row r="12" ht="26" customHeight="1">
      <x:c r="A12" s="2" t="str">
        <x:v>T011</x:v>
      </x:c>
      <x:c r="B12" s="7" t="d">
        <x:v>2026-09-18T00:00:00.000Z</x:v>
      </x:c>
      <x:c r="C12" s="2" t="str">
        <x:v>18 сентября магазин 3000</x:v>
      </x:c>
      <x:c r="D12" s="2" t="str">
        <x:v>расход</x:v>
      </x:c>
      <x:c r="E12" s="8" t="n">
        <x:v>3000</x:v>
      </x:c>
      <x:c r="F12" s="2" t="str">
        <x:v>Не определено</x:v>
      </x:c>
      <x:c r="G12" s="2" t="str">
        <x:v>нет</x:v>
      </x:c>
      <x:c r="H12" s="2" t="str">
        <x:f>TEXT(B12,"yyyy-mm")</x:f>
        <x:v>2026-09</x:v>
      </x:c>
    </x:row>
    <x:row r="13" ht="26" customHeight="1">
      <x:c r="A13" s="2" t="str">
        <x:v>T012</x:v>
      </x:c>
      <x:c r="B13" s="7" t="d">
        <x:v>2026-09-20T00:00:00.000Z</x:v>
      </x:c>
      <x:c r="C13" s="2" t="str">
        <x:v>20 сентября обучение 3500 рублей</x:v>
      </x:c>
      <x:c r="D13" s="2" t="str">
        <x:v>расход</x:v>
      </x:c>
      <x:c r="E13" s="8" t="n">
        <x:v>3500</x:v>
      </x:c>
      <x:c r="F13" s="2" t="str">
        <x:v>Обучение</x:v>
      </x:c>
      <x:c r="G13" s="2" t="str">
        <x:v>нет</x:v>
      </x:c>
      <x:c r="H13" s="2" t="str">
        <x:f>TEXT(B13,"yyyy-mm")</x:f>
        <x:v>2026-09</x:v>
      </x:c>
    </x:row>
    <x:row r="14" ht="26" customHeight="1">
      <x:c r="A14" s="2" t="str">
        <x:v>T013</x:v>
      </x:c>
      <x:c r="B14" s="7" t="d">
        <x:v>2026-08-01T00:00:00.000Z</x:v>
      </x:c>
      <x:c r="C14" s="2" t="str">
        <x:v>Зарплата</x:v>
      </x:c>
      <x:c r="D14" s="2" t="str">
        <x:v>доход</x:v>
      </x:c>
      <x:c r="E14" s="8" t="n">
        <x:v>85000</x:v>
      </x:c>
      <x:c r="F14" s="2" t="str">
        <x:v>Зарплата</x:v>
      </x:c>
      <x:c r="G14" s="2" t="str">
        <x:v>да</x:v>
      </x:c>
      <x:c r="H14" s="2" t="str">
        <x:f>TEXT(B14,"yyyy-mm")</x:f>
        <x:v>2026-08</x:v>
      </x:c>
    </x:row>
    <x:row r="15" ht="26" customHeight="1">
      <x:c r="A15" s="2" t="str">
        <x:v>T014</x:v>
      </x:c>
      <x:c r="B15" s="7" t="d">
        <x:v>2026-08-08T00:00:00.000Z</x:v>
      </x:c>
      <x:c r="C15" s="2" t="str">
        <x:v>Аренда квартиры</x:v>
      </x:c>
      <x:c r="D15" s="2" t="str">
        <x:v>расход</x:v>
      </x:c>
      <x:c r="E15" s="8" t="n">
        <x:v>30000</x:v>
      </x:c>
      <x:c r="F15" s="2" t="str">
        <x:v>Жильё</x:v>
      </x:c>
      <x:c r="G15" s="2" t="str">
        <x:v>да</x:v>
      </x:c>
      <x:c r="H15" s="2" t="str">
        <x:f>TEXT(B15,"yyyy-mm")</x:f>
        <x:v>2026-08</x:v>
      </x:c>
    </x:row>
    <x:row r="16" ht="26" customHeight="1">
      <x:c r="A16" s="2" t="str">
        <x:v>T015</x:v>
      </x:c>
      <x:c r="B16" s="7" t="d">
        <x:v>2026-08-15T00:00:00.000Z</x:v>
      </x:c>
      <x:c r="C16" s="2" t="str">
        <x:v>Подписка</x:v>
      </x:c>
      <x:c r="D16" s="2" t="str">
        <x:v>расход</x:v>
      </x:c>
      <x:c r="E16" s="8" t="n">
        <x:v>499</x:v>
      </x:c>
      <x:c r="F16" s="2" t="str">
        <x:v>Подписки</x:v>
      </x:c>
      <x:c r="G16" s="2" t="str">
        <x:v>да</x:v>
      </x:c>
      <x:c r="H16" s="2" t="str">
        <x:f>TEXT(B16,"yyyy-mm")</x:f>
        <x:v>2026-08</x:v>
      </x:c>
    </x:row>
    <x:row r="17" ht="26" customHeight="1">
      <x:c r="A17" s="2" t="str">
        <x:v>T016</x:v>
      </x:c>
      <x:c r="B17" s="7" t="d">
        <x:v>2026-08-22T00:00:00.000Z</x:v>
      </x:c>
      <x:c r="C17" s="2" t="str">
        <x:v>На свой накопительный счёт</x:v>
      </x:c>
      <x:c r="D17" s="2" t="str">
        <x:v>перевод между своими счетами</x:v>
      </x:c>
      <x:c r="E17" s="8" t="n">
        <x:v>12000</x:v>
      </x:c>
      <x:c r="F17" s="2" t="str">
        <x:v>Перевод</x:v>
      </x:c>
      <x:c r="G17" s="2" t="str">
        <x:v>нет</x:v>
      </x:c>
      <x:c r="H17" s="2" t="str">
        <x:f>TEXT(B17,"yyyy-mm")</x:f>
        <x:v>2026-08</x:v>
      </x:c>
    </x:row>
    <x:row r="18" ht="26" customHeight="1">
      <x:c r="A18" s="2" t="str">
        <x:v>T017</x:v>
      </x:c>
      <x:c r="B18" s="7" t="d">
        <x:v>2026-08-01T00:00:00.000Z</x:v>
      </x:c>
      <x:c r="C18" s="2" t="str">
        <x:v>Возврат покупки</x:v>
      </x:c>
      <x:c r="D18" s="2" t="str">
        <x:v>возврат покупки</x:v>
      </x:c>
      <x:c r="E18" s="8" t="n">
        <x:v>1800</x:v>
      </x:c>
      <x:c r="F18" s="2" t="str">
        <x:v>Возврат</x:v>
      </x:c>
      <x:c r="G18" s="2" t="str">
        <x:v>нет</x:v>
      </x:c>
      <x:c r="H18" s="2" t="str">
        <x:f>TEXT(B18,"yyyy-mm")</x:f>
        <x:v>2026-08</x:v>
      </x:c>
    </x:row>
    <x:row r="19" ht="26" customHeight="1">
      <x:c r="A19" s="2" t="str">
        <x:v>T018</x:v>
      </x:c>
      <x:c r="B19" s="7" t="d">
        <x:v>2026-08-08T00:00:00.000Z</x:v>
      </x:c>
      <x:c r="C19" s="2" t="str">
        <x:v>Доставка ужина</x:v>
      </x:c>
      <x:c r="D19" s="2" t="str">
        <x:v>расход</x:v>
      </x:c>
      <x:c r="E19" s="8" t="n">
        <x:v>900</x:v>
      </x:c>
      <x:c r="F19" s="2" t="str">
        <x:v>Доставка еды</x:v>
      </x:c>
      <x:c r="G19" s="2" t="str">
        <x:v>нет</x:v>
      </x:c>
      <x:c r="H19" s="2" t="str">
        <x:f>TEXT(B19,"yyyy-mm")</x:f>
        <x:v>2026-08</x:v>
      </x:c>
    </x:row>
    <x:row r="20" ht="26" customHeight="1">
      <x:c r="A20" s="2" t="str">
        <x:v>T019</x:v>
      </x:c>
      <x:c r="B20" s="7" t="d">
        <x:v>2026-08-15T00:00:00.000Z</x:v>
      </x:c>
      <x:c r="C20" s="2" t="str">
        <x:v>Поездка</x:v>
      </x:c>
      <x:c r="D20" s="2" t="str">
        <x:v>расход</x:v>
      </x:c>
      <x:c r="E20" s="8" t="n">
        <x:v>220</x:v>
      </x:c>
      <x:c r="F20" s="2" t="str">
        <x:v>Транспорт</x:v>
      </x:c>
      <x:c r="G20" s="2" t="str">
        <x:v>нет</x:v>
      </x:c>
      <x:c r="H20" s="2" t="str">
        <x:f>TEXT(B20,"yyyy-mm")</x:f>
        <x:v>2026-08</x:v>
      </x:c>
    </x:row>
    <x:row r="21" ht="26" customHeight="1">
      <x:c r="A21" s="2" t="str">
        <x:v>T020</x:v>
      </x:c>
      <x:c r="B21" s="7" t="d">
        <x:v>2026-08-22T00:00:00.000Z</x:v>
      </x:c>
      <x:c r="C21" s="2" t="str">
        <x:v>Кафе</x:v>
      </x:c>
      <x:c r="D21" s="2" t="str">
        <x:v>расход</x:v>
      </x:c>
      <x:c r="E21" s="8" t="n">
        <x:v>1750</x:v>
      </x:c>
      <x:c r="F21" s="2" t="str">
        <x:v>Кафе</x:v>
      </x:c>
      <x:c r="G21" s="2" t="str">
        <x:v>нет</x:v>
      </x:c>
      <x:c r="H21" s="2" t="str">
        <x:f>TEXT(B21,"yyyy-mm")</x:f>
        <x:v>2026-08</x:v>
      </x:c>
    </x:row>
    <x:row r="22" ht="26" customHeight="1">
      <x:c r="A22" s="2" t="str">
        <x:v>T021</x:v>
      </x:c>
      <x:c r="B22" s="7" t="d">
        <x:v>2026-08-01T00:00:00.000Z</x:v>
      </x:c>
      <x:c r="C22" s="2" t="str">
        <x:v>Поездка</x:v>
      </x:c>
      <x:c r="D22" s="2" t="str">
        <x:v>расход</x:v>
      </x:c>
      <x:c r="E22" s="8" t="n">
        <x:v>260</x:v>
      </x:c>
      <x:c r="F22" s="2" t="str">
        <x:v>Транспорт</x:v>
      </x:c>
      <x:c r="G22" s="2" t="str">
        <x:v>нет</x:v>
      </x:c>
      <x:c r="H22" s="2" t="str">
        <x:f>TEXT(B22,"yyyy-mm")</x:f>
        <x:v>2026-08</x:v>
      </x:c>
    </x:row>
    <x:row r="23" ht="26" customHeight="1">
      <x:c r="A23" s="2" t="str">
        <x:v>T022</x:v>
      </x:c>
      <x:c r="B23" s="7" t="d">
        <x:v>2026-08-08T00:00:00.000Z</x:v>
      </x:c>
      <x:c r="C23" s="2" t="str">
        <x:v>Поездка</x:v>
      </x:c>
      <x:c r="D23" s="2" t="str">
        <x:v>расход</x:v>
      </x:c>
      <x:c r="E23" s="8" t="n">
        <x:v>720</x:v>
      </x:c>
      <x:c r="F23" s="2" t="str">
        <x:v>Транспорт</x:v>
      </x:c>
      <x:c r="G23" s="2" t="str">
        <x:v>нет</x:v>
      </x:c>
      <x:c r="H23" s="2" t="str">
        <x:f>TEXT(B23,"yyyy-mm")</x:f>
        <x:v>2026-08</x:v>
      </x:c>
    </x:row>
    <x:row r="24" ht="26" customHeight="1">
      <x:c r="A24" s="2" t="str">
        <x:v>T023</x:v>
      </x:c>
      <x:c r="B24" s="7" t="d">
        <x:v>2026-08-15T00:00:00.000Z</x:v>
      </x:c>
      <x:c r="C24" s="2" t="str">
        <x:v>Покупка продуктов</x:v>
      </x:c>
      <x:c r="D24" s="2" t="str">
        <x:v>расход</x:v>
      </x:c>
      <x:c r="E24" s="8" t="n">
        <x:v>3690</x:v>
      </x:c>
      <x:c r="F24" s="2" t="str">
        <x:v>Продукты</x:v>
      </x:c>
      <x:c r="G24" s="2" t="str">
        <x:v>нет</x:v>
      </x:c>
      <x:c r="H24" s="2" t="str">
        <x:f>TEXT(B24,"yyyy-mm")</x:f>
        <x:v>2026-08</x:v>
      </x:c>
    </x:row>
    <x:row r="25" ht="26" customHeight="1">
      <x:c r="A25" s="2" t="str">
        <x:v>T024</x:v>
      </x:c>
      <x:c r="B25" s="7" t="d">
        <x:v>2026-08-22T00:00:00.000Z</x:v>
      </x:c>
      <x:c r="C25" s="2" t="str">
        <x:v>Поездка</x:v>
      </x:c>
      <x:c r="D25" s="2" t="str">
        <x:v>расход</x:v>
      </x:c>
      <x:c r="E25" s="8" t="n">
        <x:v>980</x:v>
      </x:c>
      <x:c r="F25" s="2" t="str">
        <x:v>Транспорт</x:v>
      </x:c>
      <x:c r="G25" s="2" t="str">
        <x:v>нет</x:v>
      </x:c>
      <x:c r="H25" s="2" t="str">
        <x:f>TEXT(B25,"yyyy-mm")</x:f>
        <x:v>2026-08</x:v>
      </x:c>
    </x:row>
    <x:row r="26" ht="26" customHeight="1">
      <x:c r="A26" s="2" t="str">
        <x:v>T025</x:v>
      </x:c>
      <x:c r="B26" s="7" t="d">
        <x:v>2026-08-01T00:00:00.000Z</x:v>
      </x:c>
      <x:c r="C26" s="2" t="str">
        <x:v>Книга или курс</x:v>
      </x:c>
      <x:c r="D26" s="2" t="str">
        <x:v>расход</x:v>
      </x:c>
      <x:c r="E26" s="8" t="n">
        <x:v>3200</x:v>
      </x:c>
      <x:c r="F26" s="2" t="str">
        <x:v>Обучение</x:v>
      </x:c>
      <x:c r="G26" s="2" t="str">
        <x:v>нет</x:v>
      </x:c>
      <x:c r="H26" s="2" t="str">
        <x:f>TEXT(B26,"yyyy-mm")</x:f>
        <x:v>2026-08</x:v>
      </x:c>
    </x:row>
    <x:row r="27" ht="26" customHeight="1">
      <x:c r="A27" s="2" t="str">
        <x:v>T026</x:v>
      </x:c>
      <x:c r="B27" s="7" t="d">
        <x:v>2026-08-08T00:00:00.000Z</x:v>
      </x:c>
      <x:c r="C27" s="2" t="str">
        <x:v>Поездка</x:v>
      </x:c>
      <x:c r="D27" s="2" t="str">
        <x:v>расход</x:v>
      </x:c>
      <x:c r="E27" s="8" t="n">
        <x:v>370</x:v>
      </x:c>
      <x:c r="F27" s="2" t="str">
        <x:v>Транспорт</x:v>
      </x:c>
      <x:c r="G27" s="2" t="str">
        <x:v>нет</x:v>
      </x:c>
      <x:c r="H27" s="2" t="str">
        <x:f>TEXT(B27,"yyyy-mm")</x:f>
        <x:v>2026-08</x:v>
      </x:c>
    </x:row>
    <x:row r="28" ht="26" customHeight="1">
      <x:c r="A28" s="2" t="str">
        <x:v>T027</x:v>
      </x:c>
      <x:c r="B28" s="7" t="d">
        <x:v>2026-08-15T00:00:00.000Z</x:v>
      </x:c>
      <x:c r="C28" s="2" t="str">
        <x:v>Покупка продуктов</x:v>
      </x:c>
      <x:c r="D28" s="2" t="str">
        <x:v>расход</x:v>
      </x:c>
      <x:c r="E28" s="8" t="n">
        <x:v>1040</x:v>
      </x:c>
      <x:c r="F28" s="2" t="str">
        <x:v>Продукты</x:v>
      </x:c>
      <x:c r="G28" s="2" t="str">
        <x:v>нет</x:v>
      </x:c>
      <x:c r="H28" s="2" t="str">
        <x:f>TEXT(B28,"yyyy-mm")</x:f>
        <x:v>2026-08</x:v>
      </x:c>
    </x:row>
    <x:row r="29" ht="26" customHeight="1">
      <x:c r="A29" s="2" t="str">
        <x:v>T028</x:v>
      </x:c>
      <x:c r="B29" s="7" t="d">
        <x:v>2026-08-22T00:00:00.000Z</x:v>
      </x:c>
      <x:c r="C29" s="2" t="str">
        <x:v>Поездка</x:v>
      </x:c>
      <x:c r="D29" s="2" t="str">
        <x:v>расход</x:v>
      </x:c>
      <x:c r="E29" s="8" t="n">
        <x:v>320</x:v>
      </x:c>
      <x:c r="F29" s="2" t="str">
        <x:v>Транспорт</x:v>
      </x:c>
      <x:c r="G29" s="2" t="str">
        <x:v>нет</x:v>
      </x:c>
      <x:c r="H29" s="2" t="str">
        <x:f>TEXT(B29,"yyyy-mm")</x:f>
        <x:v>2026-08</x:v>
      </x:c>
    </x:row>
    <x:row r="30" ht="26" customHeight="1">
      <x:c r="A30" s="2" t="str">
        <x:v>T029</x:v>
      </x:c>
      <x:c r="B30" s="7" t="d">
        <x:v>2026-08-01T00:00:00.000Z</x:v>
      </x:c>
      <x:c r="C30" s="2" t="str">
        <x:v>Книга или курс</x:v>
      </x:c>
      <x:c r="D30" s="2" t="str">
        <x:v>расход</x:v>
      </x:c>
      <x:c r="E30" s="8" t="n">
        <x:v>1870</x:v>
      </x:c>
      <x:c r="F30" s="2" t="str">
        <x:v>Обучение</x:v>
      </x:c>
      <x:c r="G30" s="2" t="str">
        <x:v>нет</x:v>
      </x:c>
      <x:c r="H30" s="2" t="str">
        <x:f>TEXT(B30,"yyyy-mm")</x:f>
        <x:v>2026-08</x:v>
      </x:c>
    </x:row>
    <x:row r="31" ht="26" customHeight="1">
      <x:c r="A31" s="2" t="str">
        <x:v>T030</x:v>
      </x:c>
      <x:c r="B31" s="7" t="d">
        <x:v>2026-08-08T00:00:00.000Z</x:v>
      </x:c>
      <x:c r="C31" s="2" t="str">
        <x:v>Доставка ужина</x:v>
      </x:c>
      <x:c r="D31" s="2" t="str">
        <x:v>расход</x:v>
      </x:c>
      <x:c r="E31" s="8" t="n">
        <x:v>1740</x:v>
      </x:c>
      <x:c r="F31" s="2" t="str">
        <x:v>Доставка еды</x:v>
      </x:c>
      <x:c r="G31" s="2" t="str">
        <x:v>нет</x:v>
      </x:c>
      <x:c r="H31" s="2" t="str">
        <x:f>TEXT(B31,"yyyy-mm")</x:f>
        <x:v>2026-08</x:v>
      </x:c>
    </x:row>
    <x:row r="32" ht="26" customHeight="1">
      <x:c r="A32" s="2" t="str">
        <x:v>T031</x:v>
      </x:c>
      <x:c r="B32" s="7" t="d">
        <x:v>2026-08-15T00:00:00.000Z</x:v>
      </x:c>
      <x:c r="C32" s="2" t="str">
        <x:v>Кафе</x:v>
      </x:c>
      <x:c r="D32" s="2" t="str">
        <x:v>расход</x:v>
      </x:c>
      <x:c r="E32" s="8" t="n">
        <x:v>970</x:v>
      </x:c>
      <x:c r="F32" s="2" t="str">
        <x:v>Кафе</x:v>
      </x:c>
      <x:c r="G32" s="2" t="str">
        <x:v>нет</x:v>
      </x:c>
      <x:c r="H32" s="2" t="str">
        <x:f>TEXT(B32,"yyyy-mm")</x:f>
        <x:v>2026-08</x:v>
      </x:c>
    </x:row>
    <x:row r="33" ht="26" customHeight="1">
      <x:c r="A33" s="2" t="str">
        <x:v>T032</x:v>
      </x:c>
      <x:c r="B33" s="7" t="d">
        <x:v>2026-08-22T00:00:00.000Z</x:v>
      </x:c>
      <x:c r="C33" s="2" t="str">
        <x:v>Бытовая покупка</x:v>
      </x:c>
      <x:c r="D33" s="2" t="str">
        <x:v>расход</x:v>
      </x:c>
      <x:c r="E33" s="8" t="n">
        <x:v>2000</x:v>
      </x:c>
      <x:c r="F33" s="2" t="str">
        <x:v>Прочее</x:v>
      </x:c>
      <x:c r="G33" s="2" t="str">
        <x:v>нет</x:v>
      </x:c>
      <x:c r="H33" s="2" t="str">
        <x:f>TEXT(B33,"yyyy-mm")</x:f>
        <x:v>2026-08</x:v>
      </x:c>
    </x:row>
    <x:row r="34" ht="26" customHeight="1">
      <x:c r="A34" s="2" t="str">
        <x:v>T033</x:v>
      </x:c>
      <x:c r="B34" s="7" t="d">
        <x:v>2026-08-01T00:00:00.000Z</x:v>
      </x:c>
      <x:c r="C34" s="2" t="str">
        <x:v>Доставка ужина</x:v>
      </x:c>
      <x:c r="D34" s="2" t="str">
        <x:v>расход</x:v>
      </x:c>
      <x:c r="E34" s="8" t="n">
        <x:v>2520</x:v>
      </x:c>
      <x:c r="F34" s="2" t="str">
        <x:v>Доставка еды</x:v>
      </x:c>
      <x:c r="G34" s="2" t="str">
        <x:v>нет</x:v>
      </x:c>
      <x:c r="H34" s="2" t="str">
        <x:f>TEXT(B34,"yyyy-mm")</x:f>
        <x:v>2026-08</x:v>
      </x:c>
    </x:row>
    <x:row r="35" ht="26" customHeight="1">
      <x:c r="A35" s="2" t="str">
        <x:v>T034</x:v>
      </x:c>
      <x:c r="B35" s="7" t="d">
        <x:v>2026-08-08T00:00:00.000Z</x:v>
      </x:c>
      <x:c r="C35" s="2" t="str">
        <x:v>Книга или курс</x:v>
      </x:c>
      <x:c r="D35" s="2" t="str">
        <x:v>расход</x:v>
      </x:c>
      <x:c r="E35" s="8" t="n">
        <x:v>960</x:v>
      </x:c>
      <x:c r="F35" s="2" t="str">
        <x:v>Обучение</x:v>
      </x:c>
      <x:c r="G35" s="2" t="str">
        <x:v>нет</x:v>
      </x:c>
      <x:c r="H35" s="2" t="str">
        <x:f>TEXT(B35,"yyyy-mm")</x:f>
        <x:v>2026-08</x:v>
      </x:c>
    </x:row>
    <x:row r="36" ht="26" customHeight="1">
      <x:c r="A36" s="2" t="str">
        <x:v>T035</x:v>
      </x:c>
      <x:c r="B36" s="7" t="d">
        <x:v>2026-08-15T00:00:00.000Z</x:v>
      </x:c>
      <x:c r="C36" s="2" t="str">
        <x:v>Кафе</x:v>
      </x:c>
      <x:c r="D36" s="2" t="str">
        <x:v>расход</x:v>
      </x:c>
      <x:c r="E36" s="8" t="n">
        <x:v>970</x:v>
      </x:c>
      <x:c r="F36" s="2" t="str">
        <x:v>Кафе</x:v>
      </x:c>
      <x:c r="G36" s="2" t="str">
        <x:v>нет</x:v>
      </x:c>
      <x:c r="H36" s="2" t="str">
        <x:f>TEXT(B36,"yyyy-mm")</x:f>
        <x:v>2026-08</x:v>
      </x:c>
    </x:row>
    <x:row r="37" ht="26" customHeight="1">
      <x:c r="A37" s="2" t="str">
        <x:v>T036</x:v>
      </x:c>
      <x:c r="B37" s="7" t="d">
        <x:v>2026-08-22T00:00:00.000Z</x:v>
      </x:c>
      <x:c r="C37" s="2" t="str">
        <x:v>Покупка продуктов</x:v>
      </x:c>
      <x:c r="D37" s="2" t="str">
        <x:v>расход</x:v>
      </x:c>
      <x:c r="E37" s="8" t="n">
        <x:v>4500</x:v>
      </x:c>
      <x:c r="F37" s="2" t="str">
        <x:v>Продукты</x:v>
      </x:c>
      <x:c r="G37" s="2" t="str">
        <x:v>нет</x:v>
      </x:c>
      <x:c r="H37" s="2" t="str">
        <x:f>TEXT(B37,"yyyy-mm")</x:f>
        <x:v>2026-08</x:v>
      </x:c>
    </x:row>
    <x:row r="38" ht="26" customHeight="1">
      <x:c r="A38" s="2" t="str">
        <x:v>T037</x:v>
      </x:c>
      <x:c r="B38" s="7" t="d">
        <x:v>2026-08-01T00:00:00.000Z</x:v>
      </x:c>
      <x:c r="C38" s="2" t="str">
        <x:v>Аптека</x:v>
      </x:c>
      <x:c r="D38" s="2" t="str">
        <x:v>расход</x:v>
      </x:c>
      <x:c r="E38" s="8" t="n">
        <x:v>550</x:v>
      </x:c>
      <x:c r="F38" s="2" t="str">
        <x:v>Здоровье</x:v>
      </x:c>
      <x:c r="G38" s="2" t="str">
        <x:v>нет</x:v>
      </x:c>
      <x:c r="H38" s="2" t="str">
        <x:f>TEXT(B38,"yyyy-mm")</x:f>
        <x:v>2026-08</x:v>
      </x:c>
    </x:row>
    <x:row r="39" ht="26" customHeight="1">
      <x:c r="A39" s="2" t="str">
        <x:v>T038</x:v>
      </x:c>
      <x:c r="B39" s="7" t="d">
        <x:v>2026-08-08T00:00:00.000Z</x:v>
      </x:c>
      <x:c r="C39" s="2" t="str">
        <x:v>Аптека</x:v>
      </x:c>
      <x:c r="D39" s="2" t="str">
        <x:v>расход</x:v>
      </x:c>
      <x:c r="E39" s="8" t="n">
        <x:v>1350</x:v>
      </x:c>
      <x:c r="F39" s="2" t="str">
        <x:v>Здоровье</x:v>
      </x:c>
      <x:c r="G39" s="2" t="str">
        <x:v>нет</x:v>
      </x:c>
      <x:c r="H39" s="2" t="str">
        <x:f>TEXT(B39,"yyyy-mm")</x:f>
        <x:v>2026-08</x:v>
      </x:c>
    </x:row>
    <x:row r="40" ht="26" customHeight="1">
      <x:c r="A40" s="2" t="str">
        <x:v>T039</x:v>
      </x:c>
      <x:c r="B40" s="7" t="d">
        <x:v>2026-08-15T00:00:00.000Z</x:v>
      </x:c>
      <x:c r="C40" s="2" t="str">
        <x:v>Доставка ужина</x:v>
      </x:c>
      <x:c r="D40" s="2" t="str">
        <x:v>расход</x:v>
      </x:c>
      <x:c r="E40" s="8" t="n">
        <x:v>1250</x:v>
      </x:c>
      <x:c r="F40" s="2" t="str">
        <x:v>Доставка еды</x:v>
      </x:c>
      <x:c r="G40" s="2" t="str">
        <x:v>нет</x:v>
      </x:c>
      <x:c r="H40" s="2" t="str">
        <x:f>TEXT(B40,"yyyy-mm")</x:f>
        <x:v>2026-08</x:v>
      </x:c>
    </x:row>
    <x:row r="41" ht="26" customHeight="1">
      <x:c r="A41" s="2" t="str">
        <x:v>T040</x:v>
      </x:c>
      <x:c r="B41" s="7" t="d">
        <x:v>2026-08-22T00:00:00.000Z</x:v>
      </x:c>
      <x:c r="C41" s="2" t="str">
        <x:v>Доставка ужина</x:v>
      </x:c>
      <x:c r="D41" s="2" t="str">
        <x:v>расход</x:v>
      </x:c>
      <x:c r="E41" s="8" t="n">
        <x:v>1520</x:v>
      </x:c>
      <x:c r="F41" s="2" t="str">
        <x:v>Доставка еды</x:v>
      </x:c>
      <x:c r="G41" s="2" t="str">
        <x:v>нет</x:v>
      </x:c>
      <x:c r="H41" s="2" t="str">
        <x:f>TEXT(B41,"yyyy-mm")</x:f>
        <x:v>2026-08</x:v>
      </x:c>
    </x:row>
    <x:row r="42" ht="26" customHeight="1">
      <x:c r="A42" s="2" t="str">
        <x:v>T041</x:v>
      </x:c>
      <x:c r="B42" s="7" t="d">
        <x:v>2026-08-01T00:00:00.000Z</x:v>
      </x:c>
      <x:c r="C42" s="2" t="str">
        <x:v>Поездка</x:v>
      </x:c>
      <x:c r="D42" s="2" t="str">
        <x:v>расход</x:v>
      </x:c>
      <x:c r="E42" s="8" t="n">
        <x:v>570</x:v>
      </x:c>
      <x:c r="F42" s="2" t="str">
        <x:v>Транспорт</x:v>
      </x:c>
      <x:c r="G42" s="2" t="str">
        <x:v>нет</x:v>
      </x:c>
      <x:c r="H42" s="2" t="str">
        <x:f>TEXT(B42,"yyyy-mm")</x:f>
        <x:v>2026-08</x:v>
      </x:c>
    </x:row>
    <x:row r="43" ht="26" customHeight="1">
      <x:c r="A43" s="2" t="str">
        <x:v>T042</x:v>
      </x:c>
      <x:c r="B43" s="7" t="d">
        <x:v>2026-08-08T00:00:00.000Z</x:v>
      </x:c>
      <x:c r="C43" s="2" t="str">
        <x:v>Аптека</x:v>
      </x:c>
      <x:c r="D43" s="2" t="str">
        <x:v>расход</x:v>
      </x:c>
      <x:c r="E43" s="8" t="n">
        <x:v>1000</x:v>
      </x:c>
      <x:c r="F43" s="2" t="str">
        <x:v>Здоровье</x:v>
      </x:c>
      <x:c r="G43" s="2" t="str">
        <x:v>нет</x:v>
      </x:c>
      <x:c r="H43" s="2" t="str">
        <x:f>TEXT(B43,"yyyy-mm")</x:f>
        <x:v>2026-08</x:v>
      </x:c>
    </x:row>
    <x:row r="44" ht="26" customHeight="1">
      <x:c r="A44" s="2" t="str">
        <x:v>T043</x:v>
      </x:c>
      <x:c r="B44" s="7" t="d">
        <x:v>2026-08-15T00:00:00.000Z</x:v>
      </x:c>
      <x:c r="C44" s="2" t="str">
        <x:v>Покупка продуктов</x:v>
      </x:c>
      <x:c r="D44" s="2" t="str">
        <x:v>расход</x:v>
      </x:c>
      <x:c r="E44" s="8" t="n">
        <x:v>1080</x:v>
      </x:c>
      <x:c r="F44" s="2" t="str">
        <x:v>Продукты</x:v>
      </x:c>
      <x:c r="G44" s="2" t="str">
        <x:v>нет</x:v>
      </x:c>
      <x:c r="H44" s="2" t="str">
        <x:f>TEXT(B44,"yyyy-mm")</x:f>
        <x:v>2026-08</x:v>
      </x:c>
    </x:row>
    <x:row r="45" ht="26" customHeight="1">
      <x:c r="A45" s="2" t="str">
        <x:v>T044</x:v>
      </x:c>
      <x:c r="B45" s="7" t="d">
        <x:v>2026-08-22T00:00:00.000Z</x:v>
      </x:c>
      <x:c r="C45" s="2" t="str">
        <x:v>Кафе</x:v>
      </x:c>
      <x:c r="D45" s="2" t="str">
        <x:v>расход</x:v>
      </x:c>
      <x:c r="E45" s="8" t="n">
        <x:v>690</x:v>
      </x:c>
      <x:c r="F45" s="2" t="str">
        <x:v>Кафе</x:v>
      </x:c>
      <x:c r="G45" s="2" t="str">
        <x:v>нет</x:v>
      </x:c>
      <x:c r="H45" s="2" t="str">
        <x:f>TEXT(B45,"yyyy-mm")</x:f>
        <x:v>2026-08</x:v>
      </x:c>
    </x:row>
    <x:row r="46" ht="26" customHeight="1">
      <x:c r="A46" s="2" t="str">
        <x:v>T045</x:v>
      </x:c>
      <x:c r="B46" s="7" t="d">
        <x:v>2026-08-01T00:00:00.000Z</x:v>
      </x:c>
      <x:c r="C46" s="2" t="str">
        <x:v>Поездка</x:v>
      </x:c>
      <x:c r="D46" s="2" t="str">
        <x:v>расход</x:v>
      </x:c>
      <x:c r="E46" s="8" t="n">
        <x:v>1040</x:v>
      </x:c>
      <x:c r="F46" s="2" t="str">
        <x:v>Транспорт</x:v>
      </x:c>
      <x:c r="G46" s="2" t="str">
        <x:v>нет</x:v>
      </x:c>
      <x:c r="H46" s="2" t="str">
        <x:f>TEXT(B46,"yyyy-mm")</x:f>
        <x:v>2026-08</x:v>
      </x:c>
    </x:row>
    <x:row r="47" ht="26" customHeight="1">
      <x:c r="A47" s="2" t="str">
        <x:v>T046</x:v>
      </x:c>
      <x:c r="B47" s="7" t="d">
        <x:v>2026-08-08T00:00:00.000Z</x:v>
      </x:c>
      <x:c r="C47" s="2" t="str">
        <x:v>Покупка продуктов</x:v>
      </x:c>
      <x:c r="D47" s="2" t="str">
        <x:v>расход</x:v>
      </x:c>
      <x:c r="E47" s="8" t="n">
        <x:v>2880</x:v>
      </x:c>
      <x:c r="F47" s="2" t="str">
        <x:v>Продукты</x:v>
      </x:c>
      <x:c r="G47" s="2" t="str">
        <x:v>нет</x:v>
      </x:c>
      <x:c r="H47" s="2" t="str">
        <x:f>TEXT(B47,"yyyy-mm")</x:f>
        <x:v>2026-08</x:v>
      </x:c>
    </x:row>
    <x:row r="48" ht="26" customHeight="1">
      <x:c r="A48" s="2" t="str">
        <x:v>T047</x:v>
      </x:c>
      <x:c r="B48" s="7" t="d">
        <x:v>2026-08-15T00:00:00.000Z</x:v>
      </x:c>
      <x:c r="C48" s="2" t="str">
        <x:v>Книга или курс</x:v>
      </x:c>
      <x:c r="D48" s="2" t="str">
        <x:v>расход</x:v>
      </x:c>
      <x:c r="E48" s="8" t="n">
        <x:v>1470</x:v>
      </x:c>
      <x:c r="F48" s="2" t="str">
        <x:v>Обучение</x:v>
      </x:c>
      <x:c r="G48" s="2" t="str">
        <x:v>нет</x:v>
      </x:c>
      <x:c r="H48" s="2" t="str">
        <x:f>TEXT(B48,"yyyy-mm")</x:f>
        <x:v>2026-08</x:v>
      </x:c>
    </x:row>
    <x:row r="49" ht="26" customHeight="1">
      <x:c r="A49" s="2" t="str">
        <x:v>T048</x:v>
      </x:c>
      <x:c r="B49" s="7" t="d">
        <x:v>2026-08-22T00:00:00.000Z</x:v>
      </x:c>
      <x:c r="C49" s="2" t="str">
        <x:v>Покупка продуктов</x:v>
      </x:c>
      <x:c r="D49" s="2" t="str">
        <x:v>расход</x:v>
      </x:c>
      <x:c r="E49" s="8" t="n">
        <x:v>3670</x:v>
      </x:c>
      <x:c r="F49" s="2" t="str">
        <x:v>Продукты</x:v>
      </x:c>
      <x:c r="G49" s="2" t="str">
        <x:v>нет</x:v>
      </x:c>
      <x:c r="H49" s="2" t="str">
        <x:f>TEXT(B49,"yyyy-mm")</x:f>
        <x:v>2026-08</x:v>
      </x:c>
    </x:row>
    <x:row r="50" ht="26" customHeight="1">
      <x:c r="A50" s="2" t="str">
        <x:v>T049</x:v>
      </x:c>
      <x:c r="B50" s="7" t="d">
        <x:v>2026-08-01T00:00:00.000Z</x:v>
      </x:c>
      <x:c r="C50" s="2" t="str">
        <x:v>Книга или курс</x:v>
      </x:c>
      <x:c r="D50" s="2" t="str">
        <x:v>расход</x:v>
      </x:c>
      <x:c r="E50" s="8" t="n">
        <x:v>2550</x:v>
      </x:c>
      <x:c r="F50" s="2" t="str">
        <x:v>Обучение</x:v>
      </x:c>
      <x:c r="G50" s="2" t="str">
        <x:v>нет</x:v>
      </x:c>
      <x:c r="H50" s="2" t="str">
        <x:f>TEXT(B50,"yyyy-mm")</x:f>
        <x:v>2026-08</x:v>
      </x:c>
    </x:row>
    <x:row r="51" ht="26" customHeight="1">
      <x:c r="A51" s="2" t="str">
        <x:v>T050</x:v>
      </x:c>
      <x:c r="B51" s="7" t="d">
        <x:v>2026-08-08T00:00:00.000Z</x:v>
      </x:c>
      <x:c r="C51" s="2" t="str">
        <x:v>Аптека</x:v>
      </x:c>
      <x:c r="D51" s="2" t="str">
        <x:v>расход</x:v>
      </x:c>
      <x:c r="E51" s="8" t="n">
        <x:v>2880</x:v>
      </x:c>
      <x:c r="F51" s="2" t="str">
        <x:v>Здоровье</x:v>
      </x:c>
      <x:c r="G51" s="2" t="str">
        <x:v>нет</x:v>
      </x:c>
      <x:c r="H51" s="2" t="str">
        <x:f>TEXT(B51,"yyyy-mm")</x:f>
        <x:v>2026-08</x:v>
      </x:c>
    </x:row>
    <x:row r="52" ht="26" customHeight="1">
      <x:c r="A52" s="2" t="str">
        <x:v>T051</x:v>
      </x:c>
      <x:c r="B52" s="7" t="d">
        <x:v>2026-08-15T00:00:00.000Z</x:v>
      </x:c>
      <x:c r="C52" s="2" t="str">
        <x:v>Доставка ужина</x:v>
      </x:c>
      <x:c r="D52" s="2" t="str">
        <x:v>расход</x:v>
      </x:c>
      <x:c r="E52" s="8" t="n">
        <x:v>2270</x:v>
      </x:c>
      <x:c r="F52" s="2" t="str">
        <x:v>Доставка еды</x:v>
      </x:c>
      <x:c r="G52" s="2" t="str">
        <x:v>нет</x:v>
      </x:c>
      <x:c r="H52" s="2" t="str">
        <x:f>TEXT(B52,"yyyy-mm")</x:f>
        <x:v>2026-08</x:v>
      </x:c>
    </x:row>
    <x:row r="53" ht="26" customHeight="1">
      <x:c r="A53" s="2" t="str">
        <x:v>T052</x:v>
      </x:c>
      <x:c r="B53" s="7" t="d">
        <x:v>2026-08-22T00:00:00.000Z</x:v>
      </x:c>
      <x:c r="C53" s="2" t="str">
        <x:v>Поездка</x:v>
      </x:c>
      <x:c r="D53" s="2" t="str">
        <x:v>расход</x:v>
      </x:c>
      <x:c r="E53" s="8" t="n">
        <x:v>1040</x:v>
      </x:c>
      <x:c r="F53" s="2" t="str">
        <x:v>Транспорт</x:v>
      </x:c>
      <x:c r="G53" s="2" t="str">
        <x:v>нет</x:v>
      </x:c>
      <x:c r="H53" s="2" t="str">
        <x:f>TEXT(B53,"yyyy-mm")</x:f>
        <x:v>2026-08</x:v>
      </x:c>
    </x:row>
    <x:row r="54" ht="26" customHeight="1">
      <x:c r="A54" s="2" t="str">
        <x:v>T053</x:v>
      </x:c>
      <x:c r="B54" s="7" t="d">
        <x:v>2026-08-01T00:00:00.000Z</x:v>
      </x:c>
      <x:c r="C54" s="2" t="str">
        <x:v>Поездка</x:v>
      </x:c>
      <x:c r="D54" s="2" t="str">
        <x:v>расход</x:v>
      </x:c>
      <x:c r="E54" s="8" t="n">
        <x:v>690</x:v>
      </x:c>
      <x:c r="F54" s="2" t="str">
        <x:v>Транспорт</x:v>
      </x:c>
      <x:c r="G54" s="2" t="str">
        <x:v>нет</x:v>
      </x:c>
      <x:c r="H54" s="2" t="str">
        <x:f>TEXT(B54,"yyyy-mm")</x:f>
        <x:v>2026-08</x:v>
      </x:c>
    </x:row>
    <x:row r="55" ht="26" customHeight="1">
      <x:c r="A55" s="2" t="str">
        <x:v>T054</x:v>
      </x:c>
      <x:c r="B55" s="7" t="d">
        <x:v>2026-08-08T00:00:00.000Z</x:v>
      </x:c>
      <x:c r="C55" s="2" t="str">
        <x:v>Доставка ужина</x:v>
      </x:c>
      <x:c r="D55" s="2" t="str">
        <x:v>расход</x:v>
      </x:c>
      <x:c r="E55" s="8" t="n">
        <x:v>1230</x:v>
      </x:c>
      <x:c r="F55" s="2" t="str">
        <x:v>Доставка еды</x:v>
      </x:c>
      <x:c r="G55" s="2" t="str">
        <x:v>нет</x:v>
      </x:c>
      <x:c r="H55" s="2" t="str">
        <x:f>TEXT(B55,"yyyy-mm")</x:f>
        <x:v>2026-08</x:v>
      </x:c>
    </x:row>
    <x:row r="56" ht="26" customHeight="1">
      <x:c r="A56" s="2" t="str">
        <x:v>T055</x:v>
      </x:c>
      <x:c r="B56" s="7" t="d">
        <x:v>2026-08-15T00:00:00.000Z</x:v>
      </x:c>
      <x:c r="C56" s="2" t="str">
        <x:v>Книга или курс</x:v>
      </x:c>
      <x:c r="D56" s="2" t="str">
        <x:v>расход</x:v>
      </x:c>
      <x:c r="E56" s="8" t="n">
        <x:v>1420</x:v>
      </x:c>
      <x:c r="F56" s="2" t="str">
        <x:v>Обучение</x:v>
      </x:c>
      <x:c r="G56" s="2" t="str">
        <x:v>нет</x:v>
      </x:c>
      <x:c r="H56" s="2" t="str">
        <x:f>TEXT(B56,"yyyy-mm")</x:f>
        <x:v>2026-08</x:v>
      </x:c>
    </x:row>
    <x:row r="57" ht="26" customHeight="1">
      <x:c r="A57" s="2" t="str">
        <x:v>T056</x:v>
      </x:c>
      <x:c r="B57" s="7" t="d">
        <x:v>2026-08-22T00:00:00.000Z</x:v>
      </x:c>
      <x:c r="C57" s="2" t="str">
        <x:v>Кафе</x:v>
      </x:c>
      <x:c r="D57" s="2" t="str">
        <x:v>расход</x:v>
      </x:c>
      <x:c r="E57" s="8" t="n">
        <x:v>1670</x:v>
      </x:c>
      <x:c r="F57" s="2" t="str">
        <x:v>Кафе</x:v>
      </x:c>
      <x:c r="G57" s="2" t="str">
        <x:v>нет</x:v>
      </x:c>
      <x:c r="H57" s="2" t="str">
        <x:f>TEXT(B57,"yyyy-mm")</x:f>
        <x:v>2026-08</x:v>
      </x:c>
    </x:row>
    <x:row r="58" ht="26" customHeight="1">
      <x:c r="A58" s="2" t="str">
        <x:v>T057</x:v>
      </x:c>
      <x:c r="B58" s="7" t="d">
        <x:v>2026-08-01T00:00:00.000Z</x:v>
      </x:c>
      <x:c r="C58" s="2" t="str">
        <x:v>Кафе</x:v>
      </x:c>
      <x:c r="D58" s="2" t="str">
        <x:v>расход</x:v>
      </x:c>
      <x:c r="E58" s="8" t="n">
        <x:v>1610</x:v>
      </x:c>
      <x:c r="F58" s="2" t="str">
        <x:v>Кафе</x:v>
      </x:c>
      <x:c r="G58" s="2" t="str">
        <x:v>нет</x:v>
      </x:c>
      <x:c r="H58" s="2" t="str">
        <x:f>TEXT(B58,"yyyy-mm")</x:f>
        <x:v>2026-08</x:v>
      </x:c>
    </x:row>
    <x:row r="59" ht="26" customHeight="1">
      <x:c r="A59" s="2" t="str">
        <x:v>T058</x:v>
      </x:c>
      <x:c r="B59" s="7" t="d">
        <x:v>2026-08-08T00:00:00.000Z</x:v>
      </x:c>
      <x:c r="C59" s="2" t="str">
        <x:v>Доставка ужина</x:v>
      </x:c>
      <x:c r="D59" s="2" t="str">
        <x:v>расход</x:v>
      </x:c>
      <x:c r="E59" s="8" t="n">
        <x:v>1870</x:v>
      </x:c>
      <x:c r="F59" s="2" t="str">
        <x:v>Доставка еды</x:v>
      </x:c>
      <x:c r="G59" s="2" t="str">
        <x:v>нет</x:v>
      </x:c>
      <x:c r="H59" s="2" t="str">
        <x:f>TEXT(B59,"yyyy-mm")</x:f>
        <x:v>2026-08</x:v>
      </x:c>
    </x:row>
    <x:row r="60" ht="26" customHeight="1">
      <x:c r="A60" s="2" t="str">
        <x:v>T059</x:v>
      </x:c>
      <x:c r="B60" s="7" t="d">
        <x:v>2026-08-15T00:00:00.000Z</x:v>
      </x:c>
      <x:c r="C60" s="2" t="str">
        <x:v>Бытовая покупка</x:v>
      </x:c>
      <x:c r="D60" s="2" t="str">
        <x:v>расход</x:v>
      </x:c>
      <x:c r="E60" s="8" t="n">
        <x:v>1380</x:v>
      </x:c>
      <x:c r="F60" s="2" t="str">
        <x:v>Прочее</x:v>
      </x:c>
      <x:c r="G60" s="2" t="str">
        <x:v>нет</x:v>
      </x:c>
      <x:c r="H60" s="2" t="str">
        <x:f>TEXT(B60,"yyyy-mm")</x:f>
        <x:v>2026-08</x:v>
      </x:c>
    </x:row>
    <x:row r="61" ht="26" customHeight="1">
      <x:c r="A61" s="2" t="str">
        <x:v>T060</x:v>
      </x:c>
      <x:c r="B61" s="7" t="d">
        <x:v>2026-08-22T00:00:00.000Z</x:v>
      </x:c>
      <x:c r="C61" s="2" t="str">
        <x:v>Поездка</x:v>
      </x:c>
      <x:c r="D61" s="2" t="str">
        <x:v>расход</x:v>
      </x:c>
      <x:c r="E61" s="8" t="n">
        <x:v>450</x:v>
      </x:c>
      <x:c r="F61" s="2" t="str">
        <x:v>Транспорт</x:v>
      </x:c>
      <x:c r="G61" s="2" t="str">
        <x:v>нет</x:v>
      </x:c>
      <x:c r="H61" s="2" t="str">
        <x:f>TEXT(B61,"yyyy-mm")</x:f>
        <x:v>2026-08</x:v>
      </x:c>
    </x:row>
    <x:row r="62" ht="26" customHeight="1">
      <x:c r="A62" s="2" t="str">
        <x:v>T061</x:v>
      </x:c>
      <x:c r="B62" s="7" t="d">
        <x:v>2026-08-01T00:00:00.000Z</x:v>
      </x:c>
      <x:c r="C62" s="2" t="str">
        <x:v>Покупка продуктов</x:v>
      </x:c>
      <x:c r="D62" s="2" t="str">
        <x:v>расход</x:v>
      </x:c>
      <x:c r="E62" s="8" t="n">
        <x:v>940</x:v>
      </x:c>
      <x:c r="F62" s="2" t="str">
        <x:v>Продукты</x:v>
      </x:c>
      <x:c r="G62" s="2" t="str">
        <x:v>нет</x:v>
      </x:c>
      <x:c r="H62" s="2" t="str">
        <x:f>TEXT(B62,"yyyy-mm")</x:f>
        <x:v>2026-08</x:v>
      </x:c>
    </x:row>
    <x:row r="63" ht="26" customHeight="1">
      <x:c r="A63" s="2" t="str">
        <x:v>T062</x:v>
      </x:c>
      <x:c r="B63" s="7" t="d">
        <x:v>2026-08-08T00:00:00.000Z</x:v>
      </x:c>
      <x:c r="C63" s="2" t="str">
        <x:v>Аптека</x:v>
      </x:c>
      <x:c r="D63" s="2" t="str">
        <x:v>расход</x:v>
      </x:c>
      <x:c r="E63" s="8" t="n">
        <x:v>1300</x:v>
      </x:c>
      <x:c r="F63" s="2" t="str">
        <x:v>Здоровье</x:v>
      </x:c>
      <x:c r="G63" s="2" t="str">
        <x:v>нет</x:v>
      </x:c>
      <x:c r="H63" s="2" t="str">
        <x:f>TEXT(B63,"yyyy-mm")</x:f>
        <x:v>2026-08</x:v>
      </x:c>
    </x:row>
    <x:row r="64" ht="26" customHeight="1">
      <x:c r="A64" s="2" t="str">
        <x:v>T063</x:v>
      </x:c>
      <x:c r="B64" s="7" t="d">
        <x:v>2026-08-15T00:00:00.000Z</x:v>
      </x:c>
      <x:c r="C64" s="2" t="str">
        <x:v>Покупка продуктов</x:v>
      </x:c>
      <x:c r="D64" s="2" t="str">
        <x:v>расход</x:v>
      </x:c>
      <x:c r="E64" s="8" t="n">
        <x:v>4550</x:v>
      </x:c>
      <x:c r="F64" s="2" t="str">
        <x:v>Продукты</x:v>
      </x:c>
      <x:c r="G64" s="2" t="str">
        <x:v>нет</x:v>
      </x:c>
      <x:c r="H64" s="2" t="str">
        <x:f>TEXT(B64,"yyyy-mm")</x:f>
        <x:v>2026-08</x:v>
      </x:c>
    </x:row>
    <x:row r="65" ht="26" customHeight="1">
      <x:c r="A65" s="2" t="str">
        <x:v>T064</x:v>
      </x:c>
      <x:c r="B65" s="7" t="d">
        <x:v>2026-08-22T00:00:00.000Z</x:v>
      </x:c>
      <x:c r="C65" s="2" t="str">
        <x:v>Бытовая покупка</x:v>
      </x:c>
      <x:c r="D65" s="2" t="str">
        <x:v>расход</x:v>
      </x:c>
      <x:c r="E65" s="8" t="n">
        <x:v>1880</x:v>
      </x:c>
      <x:c r="F65" s="2" t="str">
        <x:v>Прочее</x:v>
      </x:c>
      <x:c r="G65" s="2" t="str">
        <x:v>нет</x:v>
      </x:c>
      <x:c r="H65" s="2" t="str">
        <x:f>TEXT(B65,"yyyy-mm")</x:f>
        <x:v>2026-08</x:v>
      </x:c>
    </x:row>
    <x:row r="66" ht="26" customHeight="1">
      <x:c r="A66" s="2" t="str">
        <x:v>T065</x:v>
      </x:c>
      <x:c r="B66" s="7" t="d">
        <x:v>2026-08-01T00:00:00.000Z</x:v>
      </x:c>
      <x:c r="C66" s="2" t="str">
        <x:v>Книга или курс</x:v>
      </x:c>
      <x:c r="D66" s="2" t="str">
        <x:v>расход</x:v>
      </x:c>
      <x:c r="E66" s="8" t="n">
        <x:v>3290</x:v>
      </x:c>
      <x:c r="F66" s="2" t="str">
        <x:v>Обучение</x:v>
      </x:c>
      <x:c r="G66" s="2" t="str">
        <x:v>нет</x:v>
      </x:c>
      <x:c r="H66" s="2" t="str">
        <x:f>TEXT(B66,"yyyy-mm")</x:f>
        <x:v>2026-08</x:v>
      </x:c>
    </x:row>
    <x:row r="67" ht="26" customHeight="1">
      <x:c r="A67" s="2" t="str">
        <x:v>T066</x:v>
      </x:c>
      <x:c r="B67" s="7" t="d">
        <x:v>2026-08-08T00:00:00.000Z</x:v>
      </x:c>
      <x:c r="C67" s="2" t="str">
        <x:v>Аптека</x:v>
      </x:c>
      <x:c r="D67" s="2" t="str">
        <x:v>расход</x:v>
      </x:c>
      <x:c r="E67" s="8" t="n">
        <x:v>1040</x:v>
      </x:c>
      <x:c r="F67" s="2" t="str">
        <x:v>Здоровье</x:v>
      </x:c>
      <x:c r="G67" s="2" t="str">
        <x:v>нет</x:v>
      </x:c>
      <x:c r="H67" s="2" t="str">
        <x:f>TEXT(B67,"yyyy-mm")</x:f>
        <x:v>2026-08</x:v>
      </x:c>
    </x:row>
    <x:row r="68" ht="26" customHeight="1">
      <x:c r="A68" s="2" t="str">
        <x:v>T067</x:v>
      </x:c>
      <x:c r="B68" s="7" t="d">
        <x:v>2026-09-15T00:00:00.000Z</x:v>
      </x:c>
      <x:c r="C68" s="2" t="str">
        <x:v>Зарплата</x:v>
      </x:c>
      <x:c r="D68" s="2" t="str">
        <x:v>доход</x:v>
      </x:c>
      <x:c r="E68" s="8" t="n">
        <x:v>85000</x:v>
      </x:c>
      <x:c r="F68" s="2" t="str">
        <x:v>Зарплата</x:v>
      </x:c>
      <x:c r="G68" s="2" t="str">
        <x:v>да</x:v>
      </x:c>
      <x:c r="H68" s="2" t="str">
        <x:f>TEXT(B68,"yyyy-mm")</x:f>
        <x:v>2026-09</x:v>
      </x:c>
    </x:row>
    <x:row r="69" ht="26" customHeight="1">
      <x:c r="A69" s="2" t="str">
        <x:v>T068</x:v>
      </x:c>
      <x:c r="B69" s="7" t="d">
        <x:v>2026-09-22T00:00:00.000Z</x:v>
      </x:c>
      <x:c r="C69" s="2" t="str">
        <x:v>Аренда квартиры</x:v>
      </x:c>
      <x:c r="D69" s="2" t="str">
        <x:v>расход</x:v>
      </x:c>
      <x:c r="E69" s="8" t="n">
        <x:v>30000</x:v>
      </x:c>
      <x:c r="F69" s="2" t="str">
        <x:v>Жильё</x:v>
      </x:c>
      <x:c r="G69" s="2" t="str">
        <x:v>да</x:v>
      </x:c>
      <x:c r="H69" s="2" t="str">
        <x:f>TEXT(B69,"yyyy-mm")</x:f>
        <x:v>2026-09</x:v>
      </x:c>
    </x:row>
    <x:row r="70" ht="26" customHeight="1">
      <x:c r="A70" s="2" t="str">
        <x:v>T069</x:v>
      </x:c>
      <x:c r="B70" s="7" t="d">
        <x:v>2026-09-01T00:00:00.000Z</x:v>
      </x:c>
      <x:c r="C70" s="2" t="str">
        <x:v>Подписка</x:v>
      </x:c>
      <x:c r="D70" s="2" t="str">
        <x:v>расход</x:v>
      </x:c>
      <x:c r="E70" s="8" t="n">
        <x:v>499</x:v>
      </x:c>
      <x:c r="F70" s="2" t="str">
        <x:v>Подписки</x:v>
      </x:c>
      <x:c r="G70" s="2" t="str">
        <x:v>да</x:v>
      </x:c>
      <x:c r="H70" s="2" t="str">
        <x:f>TEXT(B70,"yyyy-mm")</x:f>
        <x:v>2026-09</x:v>
      </x:c>
    </x:row>
    <x:row r="71" ht="26" customHeight="1">
      <x:c r="A71" s="2" t="str">
        <x:v>T070</x:v>
      </x:c>
      <x:c r="B71" s="7" t="d">
        <x:v>2026-09-08T00:00:00.000Z</x:v>
      </x:c>
      <x:c r="C71" s="2" t="str">
        <x:v>На свой накопительный счёт</x:v>
      </x:c>
      <x:c r="D71" s="2" t="str">
        <x:v>перевод между своими счетами</x:v>
      </x:c>
      <x:c r="E71" s="8" t="n">
        <x:v>12000</x:v>
      </x:c>
      <x:c r="F71" s="2" t="str">
        <x:v>Перевод</x:v>
      </x:c>
      <x:c r="G71" s="2" t="str">
        <x:v>нет</x:v>
      </x:c>
      <x:c r="H71" s="2" t="str">
        <x:f>TEXT(B71,"yyyy-mm")</x:f>
        <x:v>2026-09</x:v>
      </x:c>
    </x:row>
    <x:row r="72" ht="26" customHeight="1">
      <x:c r="A72" s="2" t="str">
        <x:v>T071</x:v>
      </x:c>
      <x:c r="B72" s="7" t="d">
        <x:v>2026-09-15T00:00:00.000Z</x:v>
      </x:c>
      <x:c r="C72" s="2" t="str">
        <x:v>Возврат покупки</x:v>
      </x:c>
      <x:c r="D72" s="2" t="str">
        <x:v>возврат покупки</x:v>
      </x:c>
      <x:c r="E72" s="8" t="n">
        <x:v>1800</x:v>
      </x:c>
      <x:c r="F72" s="2" t="str">
        <x:v>Возврат</x:v>
      </x:c>
      <x:c r="G72" s="2" t="str">
        <x:v>нет</x:v>
      </x:c>
      <x:c r="H72" s="2" t="str">
        <x:f>TEXT(B72,"yyyy-mm")</x:f>
        <x:v>2026-09</x:v>
      </x:c>
    </x:row>
    <x:row r="73" ht="26" customHeight="1">
      <x:c r="A73" s="2" t="str">
        <x:v>T072</x:v>
      </x:c>
      <x:c r="B73" s="7" t="d">
        <x:v>2026-09-22T00:00:00.000Z</x:v>
      </x:c>
      <x:c r="C73" s="2" t="str">
        <x:v>Доставка ужина</x:v>
      </x:c>
      <x:c r="D73" s="2" t="str">
        <x:v>расход</x:v>
      </x:c>
      <x:c r="E73" s="8" t="n">
        <x:v>2030</x:v>
      </x:c>
      <x:c r="F73" s="2" t="str">
        <x:v>Доставка еды</x:v>
      </x:c>
      <x:c r="G73" s="2" t="str">
        <x:v>нет</x:v>
      </x:c>
      <x:c r="H73" s="2" t="str">
        <x:f>TEXT(B73,"yyyy-mm")</x:f>
        <x:v>2026-09</x:v>
      </x:c>
    </x:row>
    <x:row r="74" ht="26" customHeight="1">
      <x:c r="A74" s="2" t="str">
        <x:v>T073</x:v>
      </x:c>
      <x:c r="B74" s="7" t="d">
        <x:v>2026-09-01T00:00:00.000Z</x:v>
      </x:c>
      <x:c r="C74" s="2" t="str">
        <x:v>Бытовая покупка</x:v>
      </x:c>
      <x:c r="D74" s="2" t="str">
        <x:v>расход</x:v>
      </x:c>
      <x:c r="E74" s="8" t="n">
        <x:v>2550</x:v>
      </x:c>
      <x:c r="F74" s="2" t="str">
        <x:v>Прочее</x:v>
      </x:c>
      <x:c r="G74" s="2" t="str">
        <x:v>нет</x:v>
      </x:c>
      <x:c r="H74" s="2" t="str">
        <x:f>TEXT(B74,"yyyy-mm")</x:f>
        <x:v>2026-09</x:v>
      </x:c>
    </x:row>
    <x:row r="75" ht="26" customHeight="1">
      <x:c r="A75" s="2" t="str">
        <x:v>T074</x:v>
      </x:c>
      <x:c r="B75" s="7" t="d">
        <x:v>2026-09-08T00:00:00.000Z</x:v>
      </x:c>
      <x:c r="C75" s="2" t="str">
        <x:v>Доставка ужина</x:v>
      </x:c>
      <x:c r="D75" s="2" t="str">
        <x:v>расход</x:v>
      </x:c>
      <x:c r="E75" s="8" t="n">
        <x:v>2160</x:v>
      </x:c>
      <x:c r="F75" s="2" t="str">
        <x:v>Доставка еды</x:v>
      </x:c>
      <x:c r="G75" s="2" t="str">
        <x:v>нет</x:v>
      </x:c>
      <x:c r="H75" s="2" t="str">
        <x:f>TEXT(B75,"yyyy-mm")</x:f>
        <x:v>2026-09</x:v>
      </x:c>
    </x:row>
    <x:row r="76" ht="26" customHeight="1">
      <x:c r="A76" s="2" t="str">
        <x:v>T075</x:v>
      </x:c>
      <x:c r="B76" s="7" t="d">
        <x:v>2026-09-15T00:00:00.000Z</x:v>
      </x:c>
      <x:c r="C76" s="2" t="str">
        <x:v>Поездка</x:v>
      </x:c>
      <x:c r="D76" s="2" t="str">
        <x:v>расход</x:v>
      </x:c>
      <x:c r="E76" s="8" t="n">
        <x:v>540</x:v>
      </x:c>
      <x:c r="F76" s="2" t="str">
        <x:v>Транспорт</x:v>
      </x:c>
      <x:c r="G76" s="2" t="str">
        <x:v>нет</x:v>
      </x:c>
      <x:c r="H76" s="2" t="str">
        <x:f>TEXT(B76,"yyyy-mm")</x:f>
        <x:v>2026-09</x:v>
      </x:c>
    </x:row>
    <x:row r="77" ht="26" customHeight="1">
      <x:c r="A77" s="2" t="str">
        <x:v>T076</x:v>
      </x:c>
      <x:c r="B77" s="7" t="d">
        <x:v>2026-09-22T00:00:00.000Z</x:v>
      </x:c>
      <x:c r="C77" s="2" t="str">
        <x:v>Покупка продуктов</x:v>
      </x:c>
      <x:c r="D77" s="2" t="str">
        <x:v>расход</x:v>
      </x:c>
      <x:c r="E77" s="8" t="n">
        <x:v>4430</x:v>
      </x:c>
      <x:c r="F77" s="2" t="str">
        <x:v>Продукты</x:v>
      </x:c>
      <x:c r="G77" s="2" t="str">
        <x:v>нет</x:v>
      </x:c>
      <x:c r="H77" s="2" t="str">
        <x:f>TEXT(B77,"yyyy-mm")</x:f>
        <x:v>2026-09</x:v>
      </x:c>
    </x:row>
    <x:row r="78" ht="26" customHeight="1">
      <x:c r="A78" s="2" t="str">
        <x:v>T077</x:v>
      </x:c>
      <x:c r="B78" s="7" t="d">
        <x:v>2026-09-01T00:00:00.000Z</x:v>
      </x:c>
      <x:c r="C78" s="2" t="str">
        <x:v>Книга или курс</x:v>
      </x:c>
      <x:c r="D78" s="2" t="str">
        <x:v>расход</x:v>
      </x:c>
      <x:c r="E78" s="8" t="n">
        <x:v>2370</x:v>
      </x:c>
      <x:c r="F78" s="2" t="str">
        <x:v>Обучение</x:v>
      </x:c>
      <x:c r="G78" s="2" t="str">
        <x:v>нет</x:v>
      </x:c>
      <x:c r="H78" s="2" t="str">
        <x:f>TEXT(B78,"yyyy-mm")</x:f>
        <x:v>2026-09</x:v>
      </x:c>
    </x:row>
    <x:row r="79" ht="26" customHeight="1">
      <x:c r="A79" s="2" t="str">
        <x:v>T078</x:v>
      </x:c>
      <x:c r="B79" s="7" t="d">
        <x:v>2026-09-08T00:00:00.000Z</x:v>
      </x:c>
      <x:c r="C79" s="2" t="str">
        <x:v>Кафе</x:v>
      </x:c>
      <x:c r="D79" s="2" t="str">
        <x:v>расход</x:v>
      </x:c>
      <x:c r="E79" s="8" t="n">
        <x:v>1100</x:v>
      </x:c>
      <x:c r="F79" s="2" t="str">
        <x:v>Кафе</x:v>
      </x:c>
      <x:c r="G79" s="2" t="str">
        <x:v>нет</x:v>
      </x:c>
      <x:c r="H79" s="2" t="str">
        <x:f>TEXT(B79,"yyyy-mm")</x:f>
        <x:v>2026-09</x:v>
      </x:c>
    </x:row>
    <x:row r="80" ht="26" customHeight="1">
      <x:c r="A80" s="2" t="str">
        <x:v>T079</x:v>
      </x:c>
      <x:c r="B80" s="7" t="d">
        <x:v>2026-09-15T00:00:00.000Z</x:v>
      </x:c>
      <x:c r="C80" s="2" t="str">
        <x:v>Книга или курс</x:v>
      </x:c>
      <x:c r="D80" s="2" t="str">
        <x:v>расход</x:v>
      </x:c>
      <x:c r="E80" s="8" t="n">
        <x:v>2770</x:v>
      </x:c>
      <x:c r="F80" s="2" t="str">
        <x:v>Обучение</x:v>
      </x:c>
      <x:c r="G80" s="2" t="str">
        <x:v>нет</x:v>
      </x:c>
      <x:c r="H80" s="2" t="str">
        <x:f>TEXT(B80,"yyyy-mm")</x:f>
        <x:v>2026-09</x:v>
      </x:c>
    </x:row>
    <x:row r="81" ht="26" customHeight="1">
      <x:c r="A81" s="2" t="str">
        <x:v>T080</x:v>
      </x:c>
      <x:c r="B81" s="7" t="d">
        <x:v>2026-09-22T00:00:00.000Z</x:v>
      </x:c>
      <x:c r="C81" s="2" t="str">
        <x:v>Книга или курс</x:v>
      </x:c>
      <x:c r="D81" s="2" t="str">
        <x:v>расход</x:v>
      </x:c>
      <x:c r="E81" s="8" t="n">
        <x:v>2800</x:v>
      </x:c>
      <x:c r="F81" s="2" t="str">
        <x:v>Обучение</x:v>
      </x:c>
      <x:c r="G81" s="2" t="str">
        <x:v>нет</x:v>
      </x:c>
      <x:c r="H81" s="2" t="str">
        <x:f>TEXT(B81,"yyyy-mm")</x:f>
        <x:v>2026-09</x:v>
      </x:c>
    </x:row>
    <x:row r="82" ht="26" customHeight="1">
      <x:c r="A82" s="2" t="str">
        <x:v>T081</x:v>
      </x:c>
      <x:c r="B82" s="7" t="d">
        <x:v>2026-09-01T00:00:00.000Z</x:v>
      </x:c>
      <x:c r="C82" s="2" t="str">
        <x:v>Аптека</x:v>
      </x:c>
      <x:c r="D82" s="2" t="str">
        <x:v>расход</x:v>
      </x:c>
      <x:c r="E82" s="8" t="n">
        <x:v>1440</x:v>
      </x:c>
      <x:c r="F82" s="2" t="str">
        <x:v>Здоровье</x:v>
      </x:c>
      <x:c r="G82" s="2" t="str">
        <x:v>нет</x:v>
      </x:c>
      <x:c r="H82" s="2" t="str">
        <x:f>TEXT(B82,"yyyy-mm")</x:f>
        <x:v>2026-09</x:v>
      </x:c>
    </x:row>
    <x:row r="83" ht="26" customHeight="1">
      <x:c r="A83" s="2" t="str">
        <x:v>T082</x:v>
      </x:c>
      <x:c r="B83" s="7" t="d">
        <x:v>2026-09-08T00:00:00.000Z</x:v>
      </x:c>
      <x:c r="C83" s="2" t="str">
        <x:v>Доставка ужина</x:v>
      </x:c>
      <x:c r="D83" s="2" t="str">
        <x:v>расход</x:v>
      </x:c>
      <x:c r="E83" s="8" t="n">
        <x:v>1920</x:v>
      </x:c>
      <x:c r="F83" s="2" t="str">
        <x:v>Доставка еды</x:v>
      </x:c>
      <x:c r="G83" s="2" t="str">
        <x:v>нет</x:v>
      </x:c>
      <x:c r="H83" s="2" t="str">
        <x:f>TEXT(B83,"yyyy-mm")</x:f>
        <x:v>2026-09</x:v>
      </x:c>
    </x:row>
    <x:row r="84" ht="26" customHeight="1">
      <x:c r="A84" s="2" t="str">
        <x:v>T083</x:v>
      </x:c>
      <x:c r="B84" s="7" t="d">
        <x:v>2026-09-15T00:00:00.000Z</x:v>
      </x:c>
      <x:c r="C84" s="2" t="str">
        <x:v>Кафе</x:v>
      </x:c>
      <x:c r="D84" s="2" t="str">
        <x:v>расход</x:v>
      </x:c>
      <x:c r="E84" s="8" t="n">
        <x:v>1010</x:v>
      </x:c>
      <x:c r="F84" s="2" t="str">
        <x:v>Кафе</x:v>
      </x:c>
      <x:c r="G84" s="2" t="str">
        <x:v>нет</x:v>
      </x:c>
      <x:c r="H84" s="2" t="str">
        <x:f>TEXT(B84,"yyyy-mm")</x:f>
        <x:v>2026-09</x:v>
      </x:c>
    </x:row>
    <x:row r="85" ht="26" customHeight="1">
      <x:c r="A85" s="2" t="str">
        <x:v>T084</x:v>
      </x:c>
      <x:c r="B85" s="7" t="d">
        <x:v>2026-09-22T00:00:00.000Z</x:v>
      </x:c>
      <x:c r="C85" s="2" t="str">
        <x:v>Доставка ужина</x:v>
      </x:c>
      <x:c r="D85" s="2" t="str">
        <x:v>расход</x:v>
      </x:c>
      <x:c r="E85" s="8" t="n">
        <x:v>2300</x:v>
      </x:c>
      <x:c r="F85" s="2" t="str">
        <x:v>Доставка еды</x:v>
      </x:c>
      <x:c r="G85" s="2" t="str">
        <x:v>нет</x:v>
      </x:c>
      <x:c r="H85" s="2" t="str">
        <x:f>TEXT(B85,"yyyy-mm")</x:f>
        <x:v>2026-09</x:v>
      </x:c>
    </x:row>
    <x:row r="86" ht="26" customHeight="1">
      <x:c r="A86" s="2" t="str">
        <x:v>T085</x:v>
      </x:c>
      <x:c r="B86" s="7" t="d">
        <x:v>2026-09-01T00:00:00.000Z</x:v>
      </x:c>
      <x:c r="C86" s="2" t="str">
        <x:v>Покупка продуктов</x:v>
      </x:c>
      <x:c r="D86" s="2" t="str">
        <x:v>расход</x:v>
      </x:c>
      <x:c r="E86" s="8" t="n">
        <x:v>2210</x:v>
      </x:c>
      <x:c r="F86" s="2" t="str">
        <x:v>Продукты</x:v>
      </x:c>
      <x:c r="G86" s="2" t="str">
        <x:v>нет</x:v>
      </x:c>
      <x:c r="H86" s="2" t="str">
        <x:f>TEXT(B86,"yyyy-mm")</x:f>
        <x:v>2026-09</x:v>
      </x:c>
    </x:row>
    <x:row r="87" ht="26" customHeight="1">
      <x:c r="A87" s="2" t="str">
        <x:v>T086</x:v>
      </x:c>
      <x:c r="B87" s="7" t="d">
        <x:v>2026-09-08T00:00:00.000Z</x:v>
      </x:c>
      <x:c r="C87" s="2" t="str">
        <x:v>Бытовая покупка</x:v>
      </x:c>
      <x:c r="D87" s="2" t="str">
        <x:v>расход</x:v>
      </x:c>
      <x:c r="E87" s="8" t="n">
        <x:v>2640</x:v>
      </x:c>
      <x:c r="F87" s="2" t="str">
        <x:v>Прочее</x:v>
      </x:c>
      <x:c r="G87" s="2" t="str">
        <x:v>нет</x:v>
      </x:c>
      <x:c r="H87" s="2" t="str">
        <x:f>TEXT(B87,"yyyy-mm")</x:f>
        <x:v>2026-09</x:v>
      </x:c>
    </x:row>
    <x:row r="88" ht="26" customHeight="1">
      <x:c r="A88" s="2" t="str">
        <x:v>T087</x:v>
      </x:c>
      <x:c r="B88" s="7" t="d">
        <x:v>2026-09-15T00:00:00.000Z</x:v>
      </x:c>
      <x:c r="C88" s="2" t="str">
        <x:v>Доставка ужина</x:v>
      </x:c>
      <x:c r="D88" s="2" t="str">
        <x:v>расход</x:v>
      </x:c>
      <x:c r="E88" s="8" t="n">
        <x:v>1940</x:v>
      </x:c>
      <x:c r="F88" s="2" t="str">
        <x:v>Доставка еды</x:v>
      </x:c>
      <x:c r="G88" s="2" t="str">
        <x:v>нет</x:v>
      </x:c>
      <x:c r="H88" s="2" t="str">
        <x:f>TEXT(B88,"yyyy-mm")</x:f>
        <x:v>2026-09</x:v>
      </x:c>
    </x:row>
    <x:row r="89" ht="26" customHeight="1">
      <x:c r="A89" s="2" t="str">
        <x:v>T088</x:v>
      </x:c>
      <x:c r="B89" s="7" t="d">
        <x:v>2026-09-22T00:00:00.000Z</x:v>
      </x:c>
      <x:c r="C89" s="2" t="str">
        <x:v>Покупка продуктов</x:v>
      </x:c>
      <x:c r="D89" s="2" t="str">
        <x:v>расход</x:v>
      </x:c>
      <x:c r="E89" s="8" t="n">
        <x:v>4280</x:v>
      </x:c>
      <x:c r="F89" s="2" t="str">
        <x:v>Продукты</x:v>
      </x:c>
      <x:c r="G89" s="2" t="str">
        <x:v>нет</x:v>
      </x:c>
      <x:c r="H89" s="2" t="str">
        <x:f>TEXT(B89,"yyyy-mm")</x:f>
        <x:v>2026-09</x:v>
      </x:c>
    </x:row>
    <x:row r="90" ht="26" customHeight="1">
      <x:c r="A90" s="2" t="str">
        <x:v>T089</x:v>
      </x:c>
      <x:c r="B90" s="7" t="d">
        <x:v>2026-09-01T00:00:00.000Z</x:v>
      </x:c>
      <x:c r="C90" s="2" t="str">
        <x:v>Покупка продуктов</x:v>
      </x:c>
      <x:c r="D90" s="2" t="str">
        <x:v>расход</x:v>
      </x:c>
      <x:c r="E90" s="8" t="n">
        <x:v>2780</x:v>
      </x:c>
      <x:c r="F90" s="2" t="str">
        <x:v>Продукты</x:v>
      </x:c>
      <x:c r="G90" s="2" t="str">
        <x:v>нет</x:v>
      </x:c>
      <x:c r="H90" s="2" t="str">
        <x:f>TEXT(B90,"yyyy-mm")</x:f>
        <x:v>2026-09</x:v>
      </x:c>
    </x:row>
    <x:row r="91" ht="26" customHeight="1">
      <x:c r="A91" s="2" t="str">
        <x:v>T090</x:v>
      </x:c>
      <x:c r="B91" s="7" t="d">
        <x:v>2026-09-08T00:00:00.000Z</x:v>
      </x:c>
      <x:c r="C91" s="2" t="str">
        <x:v>Аптека</x:v>
      </x:c>
      <x:c r="D91" s="2" t="str">
        <x:v>расход</x:v>
      </x:c>
      <x:c r="E91" s="8" t="n">
        <x:v>2250</x:v>
      </x:c>
      <x:c r="F91" s="2" t="str">
        <x:v>Здоровье</x:v>
      </x:c>
      <x:c r="G91" s="2" t="str">
        <x:v>нет</x:v>
      </x:c>
      <x:c r="H91" s="2" t="str">
        <x:f>TEXT(B91,"yyyy-mm")</x:f>
        <x:v>2026-09</x:v>
      </x:c>
    </x:row>
    <x:row r="92" ht="26" customHeight="1">
      <x:c r="A92" s="2" t="str">
        <x:v>T091</x:v>
      </x:c>
      <x:c r="B92" s="7" t="d">
        <x:v>2026-09-15T00:00:00.000Z</x:v>
      </x:c>
      <x:c r="C92" s="2" t="str">
        <x:v>Аптека</x:v>
      </x:c>
      <x:c r="D92" s="2" t="str">
        <x:v>расход</x:v>
      </x:c>
      <x:c r="E92" s="8" t="n">
        <x:v>2280</x:v>
      </x:c>
      <x:c r="F92" s="2" t="str">
        <x:v>Здоровье</x:v>
      </x:c>
      <x:c r="G92" s="2" t="str">
        <x:v>нет</x:v>
      </x:c>
      <x:c r="H92" s="2" t="str">
        <x:f>TEXT(B92,"yyyy-mm")</x:f>
        <x:v>2026-09</x:v>
      </x:c>
    </x:row>
    <x:row r="93" ht="26" customHeight="1">
      <x:c r="A93" s="2" t="str">
        <x:v>T092</x:v>
      </x:c>
      <x:c r="B93" s="7" t="d">
        <x:v>2026-09-22T00:00:00.000Z</x:v>
      </x:c>
      <x:c r="C93" s="2" t="str">
        <x:v>Покупка продуктов</x:v>
      </x:c>
      <x:c r="D93" s="2" t="str">
        <x:v>расход</x:v>
      </x:c>
      <x:c r="E93" s="8" t="n">
        <x:v>2000</x:v>
      </x:c>
      <x:c r="F93" s="2" t="str">
        <x:v>Продукты</x:v>
      </x:c>
      <x:c r="G93" s="2" t="str">
        <x:v>нет</x:v>
      </x:c>
      <x:c r="H93" s="2" t="str">
        <x:f>TEXT(B93,"yyyy-mm")</x:f>
        <x:v>2026-09</x:v>
      </x:c>
    </x:row>
    <x:row r="94" ht="26" customHeight="1">
      <x:c r="A94" s="2" t="str">
        <x:v>T093</x:v>
      </x:c>
      <x:c r="B94" s="7" t="d">
        <x:v>2026-09-01T00:00:00.000Z</x:v>
      </x:c>
      <x:c r="C94" s="2" t="str">
        <x:v>Доставка ужина</x:v>
      </x:c>
      <x:c r="D94" s="2" t="str">
        <x:v>расход</x:v>
      </x:c>
      <x:c r="E94" s="8" t="n">
        <x:v>1050</x:v>
      </x:c>
      <x:c r="F94" s="2" t="str">
        <x:v>Доставка еды</x:v>
      </x:c>
      <x:c r="G94" s="2" t="str">
        <x:v>нет</x:v>
      </x:c>
      <x:c r="H94" s="2" t="str">
        <x:f>TEXT(B94,"yyyy-mm")</x:f>
        <x:v>2026-09</x:v>
      </x:c>
    </x:row>
    <x:row r="95" ht="26" customHeight="1">
      <x:c r="A95" s="2" t="str">
        <x:v>T094</x:v>
      </x:c>
      <x:c r="B95" s="7" t="d">
        <x:v>2026-09-08T00:00:00.000Z</x:v>
      </x:c>
      <x:c r="C95" s="2" t="str">
        <x:v>Аптека</x:v>
      </x:c>
      <x:c r="D95" s="2" t="str">
        <x:v>расход</x:v>
      </x:c>
      <x:c r="E95" s="8" t="n">
        <x:v>310</x:v>
      </x:c>
      <x:c r="F95" s="2" t="str">
        <x:v>Здоровье</x:v>
      </x:c>
      <x:c r="G95" s="2" t="str">
        <x:v>нет</x:v>
      </x:c>
      <x:c r="H95" s="2" t="str">
        <x:f>TEXT(B95,"yyyy-mm")</x:f>
        <x:v>2026-09</x:v>
      </x:c>
    </x:row>
    <x:row r="96" ht="26" customHeight="1">
      <x:c r="A96" s="2" t="str">
        <x:v>T095</x:v>
      </x:c>
      <x:c r="B96" s="7" t="d">
        <x:v>2026-09-15T00:00:00.000Z</x:v>
      </x:c>
      <x:c r="C96" s="2" t="str">
        <x:v>Доставка ужина</x:v>
      </x:c>
      <x:c r="D96" s="2" t="str">
        <x:v>расход</x:v>
      </x:c>
      <x:c r="E96" s="8" t="n">
        <x:v>1470</x:v>
      </x:c>
      <x:c r="F96" s="2" t="str">
        <x:v>Доставка еды</x:v>
      </x:c>
      <x:c r="G96" s="2" t="str">
        <x:v>нет</x:v>
      </x:c>
      <x:c r="H96" s="2" t="str">
        <x:f>TEXT(B96,"yyyy-mm")</x:f>
        <x:v>2026-09</x:v>
      </x:c>
    </x:row>
    <x:row r="97" ht="26" customHeight="1">
      <x:c r="A97" s="2" t="str">
        <x:v>T096</x:v>
      </x:c>
      <x:c r="B97" s="7" t="d">
        <x:v>2026-09-22T00:00:00.000Z</x:v>
      </x:c>
      <x:c r="C97" s="2" t="str">
        <x:v>Доставка ужина</x:v>
      </x:c>
      <x:c r="D97" s="2" t="str">
        <x:v>расход</x:v>
      </x:c>
      <x:c r="E97" s="8" t="n">
        <x:v>2360</x:v>
      </x:c>
      <x:c r="F97" s="2" t="str">
        <x:v>Доставка еды</x:v>
      </x:c>
      <x:c r="G97" s="2" t="str">
        <x:v>нет</x:v>
      </x:c>
      <x:c r="H97" s="2" t="str">
        <x:f>TEXT(B97,"yyyy-mm")</x:f>
        <x:v>2026-09</x:v>
      </x:c>
    </x:row>
    <x:row r="98" ht="26" customHeight="1">
      <x:c r="A98" s="2" t="str">
        <x:v>T097</x:v>
      </x:c>
      <x:c r="B98" s="7" t="d">
        <x:v>2026-09-01T00:00:00.000Z</x:v>
      </x:c>
      <x:c r="C98" s="2" t="str">
        <x:v>Доставка ужина</x:v>
      </x:c>
      <x:c r="D98" s="2" t="str">
        <x:v>расход</x:v>
      </x:c>
      <x:c r="E98" s="8" t="n">
        <x:v>1690</x:v>
      </x:c>
      <x:c r="F98" s="2" t="str">
        <x:v>Доставка еды</x:v>
      </x:c>
      <x:c r="G98" s="2" t="str">
        <x:v>нет</x:v>
      </x:c>
      <x:c r="H98" s="2" t="str">
        <x:f>TEXT(B98,"yyyy-mm")</x:f>
        <x:v>2026-09</x:v>
      </x:c>
    </x:row>
    <x:row r="99" ht="26" customHeight="1">
      <x:c r="A99" s="2" t="str">
        <x:v>T098</x:v>
      </x:c>
      <x:c r="B99" s="7" t="d">
        <x:v>2026-09-08T00:00:00.000Z</x:v>
      </x:c>
      <x:c r="C99" s="2" t="str">
        <x:v>Бытовая покупка</x:v>
      </x:c>
      <x:c r="D99" s="2" t="str">
        <x:v>расход</x:v>
      </x:c>
      <x:c r="E99" s="8" t="n">
        <x:v>2290</x:v>
      </x:c>
      <x:c r="F99" s="2" t="str">
        <x:v>Прочее</x:v>
      </x:c>
      <x:c r="G99" s="2" t="str">
        <x:v>нет</x:v>
      </x:c>
      <x:c r="H99" s="2" t="str">
        <x:f>TEXT(B99,"yyyy-mm")</x:f>
        <x:v>2026-09</x:v>
      </x:c>
    </x:row>
    <x:row r="100" ht="26" customHeight="1">
      <x:c r="A100" s="2" t="str">
        <x:v>T099</x:v>
      </x:c>
      <x:c r="B100" s="7" t="d">
        <x:v>2026-09-15T00:00:00.000Z</x:v>
      </x:c>
      <x:c r="C100" s="2" t="str">
        <x:v>Покупка продуктов</x:v>
      </x:c>
      <x:c r="D100" s="2" t="str">
        <x:v>расход</x:v>
      </x:c>
      <x:c r="E100" s="8" t="n">
        <x:v>2950</x:v>
      </x:c>
      <x:c r="F100" s="2" t="str">
        <x:v>Продукты</x:v>
      </x:c>
      <x:c r="G100" s="2" t="str">
        <x:v>нет</x:v>
      </x:c>
      <x:c r="H100" s="2" t="str">
        <x:f>TEXT(B100,"yyyy-mm")</x:f>
        <x:v>2026-09</x:v>
      </x:c>
    </x:row>
    <x:row r="101" ht="26" customHeight="1">
      <x:c r="A101" s="2" t="str">
        <x:v>T100</x:v>
      </x:c>
      <x:c r="B101" s="7" t="d">
        <x:v>2026-09-22T00:00:00.000Z</x:v>
      </x:c>
      <x:c r="C101" s="2" t="str">
        <x:v>Кафе</x:v>
      </x:c>
      <x:c r="D101" s="2" t="str">
        <x:v>расход</x:v>
      </x:c>
      <x:c r="E101" s="8" t="n">
        <x:v>580</x:v>
      </x:c>
      <x:c r="F101" s="2" t="str">
        <x:v>Кафе</x:v>
      </x:c>
      <x:c r="G101" s="2" t="str">
        <x:v>нет</x:v>
      </x:c>
      <x:c r="H101" s="2" t="str">
        <x:f>TEXT(B101,"yyyy-mm")</x:f>
        <x:v>2026-09</x:v>
      </x:c>
    </x:row>
    <x:row r="102" ht="26" customHeight="1">
      <x:c r="A102" s="2" t="str">
        <x:v>T101</x:v>
      </x:c>
      <x:c r="B102" s="7" t="d">
        <x:v>2026-09-01T00:00:00.000Z</x:v>
      </x:c>
      <x:c r="C102" s="2" t="str">
        <x:v>Бытовая покупка</x:v>
      </x:c>
      <x:c r="D102" s="2" t="str">
        <x:v>расход</x:v>
      </x:c>
      <x:c r="E102" s="8" t="n">
        <x:v>1570</x:v>
      </x:c>
      <x:c r="F102" s="2" t="str">
        <x:v>Прочее</x:v>
      </x:c>
      <x:c r="G102" s="2" t="str">
        <x:v>нет</x:v>
      </x:c>
      <x:c r="H102" s="2" t="str">
        <x:f>TEXT(B102,"yyyy-mm")</x:f>
        <x:v>2026-09</x:v>
      </x:c>
    </x:row>
    <x:row r="103" ht="26" customHeight="1">
      <x:c r="A103" s="2" t="str">
        <x:v>T102</x:v>
      </x:c>
      <x:c r="B103" s="7" t="d">
        <x:v>2026-09-08T00:00:00.000Z</x:v>
      </x:c>
      <x:c r="C103" s="2" t="str">
        <x:v>Кафе</x:v>
      </x:c>
      <x:c r="D103" s="2" t="str">
        <x:v>расход</x:v>
      </x:c>
      <x:c r="E103" s="8" t="n">
        <x:v>1520</x:v>
      </x:c>
      <x:c r="F103" s="2" t="str">
        <x:v>Кафе</x:v>
      </x:c>
      <x:c r="G103" s="2" t="str">
        <x:v>нет</x:v>
      </x:c>
      <x:c r="H103" s="2" t="str">
        <x:f>TEXT(B103,"yyyy-mm")</x:f>
        <x:v>2026-09</x:v>
      </x:c>
    </x:row>
    <x:row r="104" ht="26" customHeight="1">
      <x:c r="A104" s="2" t="str">
        <x:v>T103</x:v>
      </x:c>
      <x:c r="B104" s="7" t="d">
        <x:v>2026-09-15T00:00:00.000Z</x:v>
      </x:c>
      <x:c r="C104" s="2" t="str">
        <x:v>Аптека</x:v>
      </x:c>
      <x:c r="D104" s="2" t="str">
        <x:v>расход</x:v>
      </x:c>
      <x:c r="E104" s="8" t="n">
        <x:v>2720</x:v>
      </x:c>
      <x:c r="F104" s="2" t="str">
        <x:v>Здоровье</x:v>
      </x:c>
      <x:c r="G104" s="2" t="str">
        <x:v>нет</x:v>
      </x:c>
      <x:c r="H104" s="2" t="str">
        <x:f>TEXT(B104,"yyyy-mm")</x:f>
        <x:v>2026-09</x:v>
      </x:c>
    </x:row>
    <x:row r="105" ht="26" customHeight="1">
      <x:c r="A105" s="2" t="str">
        <x:v>T104</x:v>
      </x:c>
      <x:c r="B105" s="7" t="d">
        <x:v>2026-09-22T00:00:00.000Z</x:v>
      </x:c>
      <x:c r="C105" s="2" t="str">
        <x:v>Бытовая покупка</x:v>
      </x:c>
      <x:c r="D105" s="2" t="str">
        <x:v>расход</x:v>
      </x:c>
      <x:c r="E105" s="8" t="n">
        <x:v>2470</x:v>
      </x:c>
      <x:c r="F105" s="2" t="str">
        <x:v>Прочее</x:v>
      </x:c>
      <x:c r="G105" s="2" t="str">
        <x:v>нет</x:v>
      </x:c>
      <x:c r="H105" s="2" t="str">
        <x:f>TEXT(B105,"yyyy-mm")</x:f>
        <x:v>2026-09</x:v>
      </x:c>
    </x:row>
    <x:row r="106" ht="26" customHeight="1">
      <x:c r="A106" s="2" t="str">
        <x:v>T105</x:v>
      </x:c>
      <x:c r="B106" s="7" t="d">
        <x:v>2026-09-01T00:00:00.000Z</x:v>
      </x:c>
      <x:c r="C106" s="2" t="str">
        <x:v>Аптека</x:v>
      </x:c>
      <x:c r="D106" s="2" t="str">
        <x:v>расход</x:v>
      </x:c>
      <x:c r="E106" s="8" t="n">
        <x:v>970</x:v>
      </x:c>
      <x:c r="F106" s="2" t="str">
        <x:v>Здоровье</x:v>
      </x:c>
      <x:c r="G106" s="2" t="str">
        <x:v>нет</x:v>
      </x:c>
      <x:c r="H106" s="2" t="str">
        <x:f>TEXT(B106,"yyyy-mm")</x:f>
        <x:v>2026-09</x:v>
      </x:c>
    </x:row>
    <x:row r="107" ht="26" customHeight="1">
      <x:c r="A107" s="2" t="str">
        <x:v>T106</x:v>
      </x:c>
      <x:c r="B107" s="7" t="d">
        <x:v>2026-09-08T00:00:00.000Z</x:v>
      </x:c>
      <x:c r="C107" s="2" t="str">
        <x:v>Покупка продуктов</x:v>
      </x:c>
      <x:c r="D107" s="2" t="str">
        <x:v>расход</x:v>
      </x:c>
      <x:c r="E107" s="8" t="n">
        <x:v>1840</x:v>
      </x:c>
      <x:c r="F107" s="2" t="str">
        <x:v>Продукты</x:v>
      </x:c>
      <x:c r="G107" s="2" t="str">
        <x:v>нет</x:v>
      </x:c>
      <x:c r="H107" s="2" t="str">
        <x:f>TEXT(B107,"yyyy-mm")</x:f>
        <x:v>2026-09</x:v>
      </x:c>
    </x:row>
    <x:row r="108" ht="26" customHeight="1">
      <x:c r="A108" s="2" t="str">
        <x:v>T107</x:v>
      </x:c>
      <x:c r="B108" s="7" t="d">
        <x:v>2026-09-15T00:00:00.000Z</x:v>
      </x:c>
      <x:c r="C108" s="2" t="str">
        <x:v>Книга или курс</x:v>
      </x:c>
      <x:c r="D108" s="2" t="str">
        <x:v>расход</x:v>
      </x:c>
      <x:c r="E108" s="8" t="n">
        <x:v>800</x:v>
      </x:c>
      <x:c r="F108" s="2" t="str">
        <x:v>Обучение</x:v>
      </x:c>
      <x:c r="G108" s="2" t="str">
        <x:v>нет</x:v>
      </x:c>
      <x:c r="H108" s="2" t="str">
        <x:f>TEXT(B108,"yyyy-mm")</x:f>
        <x:v>2026-09</x:v>
      </x:c>
    </x:row>
    <x:row r="109" ht="26" customHeight="1">
      <x:c r="A109" s="2" t="str">
        <x:v>T108</x:v>
      </x:c>
      <x:c r="B109" s="7" t="d">
        <x:v>2026-09-22T00:00:00.000Z</x:v>
      </x:c>
      <x:c r="C109" s="2" t="str">
        <x:v>Поездка</x:v>
      </x:c>
      <x:c r="D109" s="2" t="str">
        <x:v>расход</x:v>
      </x:c>
      <x:c r="E109" s="8" t="n">
        <x:v>450</x:v>
      </x:c>
      <x:c r="F109" s="2" t="str">
        <x:v>Транспорт</x:v>
      </x:c>
      <x:c r="G109" s="2" t="str">
        <x:v>нет</x:v>
      </x:c>
      <x:c r="H109" s="2" t="str">
        <x:f>TEXT(B109,"yyyy-mm")</x:f>
        <x:v>2026-09</x:v>
      </x:c>
    </x:row>
    <x:row r="110" ht="26" customHeight="1">
      <x:c r="A110" s="2" t="str">
        <x:v>T109</x:v>
      </x:c>
      <x:c r="B110" s="7" t="d">
        <x:v>2026-09-01T00:00:00.000Z</x:v>
      </x:c>
      <x:c r="C110" s="2" t="str">
        <x:v>Бытовая покупка</x:v>
      </x:c>
      <x:c r="D110" s="2" t="str">
        <x:v>расход</x:v>
      </x:c>
      <x:c r="E110" s="8" t="n">
        <x:v>2340</x:v>
      </x:c>
      <x:c r="F110" s="2" t="str">
        <x:v>Прочее</x:v>
      </x:c>
      <x:c r="G110" s="2" t="str">
        <x:v>нет</x:v>
      </x:c>
      <x:c r="H110" s="2" t="str">
        <x:f>TEXT(B110,"yyyy-mm")</x:f>
        <x:v>2026-09</x:v>
      </x:c>
    </x:row>
    <x:row r="111" ht="26" customHeight="1">
      <x:c r="A111" s="2" t="str">
        <x:v>T110</x:v>
      </x:c>
      <x:c r="B111" s="7" t="d">
        <x:v>2026-09-08T00:00:00.000Z</x:v>
      </x:c>
      <x:c r="C111" s="2" t="str">
        <x:v>Кафе</x:v>
      </x:c>
      <x:c r="D111" s="2" t="str">
        <x:v>расход</x:v>
      </x:c>
      <x:c r="E111" s="8" t="n">
        <x:v>1360</x:v>
      </x:c>
      <x:c r="F111" s="2" t="str">
        <x:v>Кафе</x:v>
      </x:c>
      <x:c r="G111" s="2" t="str">
        <x:v>нет</x:v>
      </x:c>
      <x:c r="H111" s="2" t="str">
        <x:f>TEXT(B111,"yyyy-mm")</x:f>
        <x:v>2026-09</x:v>
      </x:c>
    </x:row>
    <x:row r="112" ht="26" customHeight="1">
      <x:c r="A112" s="2" t="str">
        <x:v>T111</x:v>
      </x:c>
      <x:c r="B112" s="7" t="d">
        <x:v>2026-09-15T00:00:00.000Z</x:v>
      </x:c>
      <x:c r="C112" s="2" t="str">
        <x:v>Бытовая покупка</x:v>
      </x:c>
      <x:c r="D112" s="2" t="str">
        <x:v>расход</x:v>
      </x:c>
      <x:c r="E112" s="8" t="n">
        <x:v>1640</x:v>
      </x:c>
      <x:c r="F112" s="2" t="str">
        <x:v>Прочее</x:v>
      </x:c>
      <x:c r="G112" s="2" t="str">
        <x:v>нет</x:v>
      </x:c>
      <x:c r="H112" s="2" t="str">
        <x:f>TEXT(B112,"yyyy-mm")</x:f>
        <x:v>2026-09</x:v>
      </x:c>
    </x:row>
    <x:row r="113" ht="26" customHeight="1">
      <x:c r="A113" s="2" t="str">
        <x:v>T112</x:v>
      </x:c>
      <x:c r="B113" s="7" t="d">
        <x:v>2026-09-22T00:00:00.000Z</x:v>
      </x:c>
      <x:c r="C113" s="2" t="str">
        <x:v>Поездка</x:v>
      </x:c>
      <x:c r="D113" s="2" t="str">
        <x:v>расход</x:v>
      </x:c>
      <x:c r="E113" s="8" t="n">
        <x:v>240</x:v>
      </x:c>
      <x:c r="F113" s="2" t="str">
        <x:v>Транспорт</x:v>
      </x:c>
      <x:c r="G113" s="2" t="str">
        <x:v>нет</x:v>
      </x:c>
      <x:c r="H113" s="2" t="str">
        <x:f>TEXT(B113,"yyyy-mm")</x:f>
        <x:v>2026-09</x:v>
      </x:c>
    </x:row>
    <x:row r="114" ht="26" customHeight="1">
      <x:c r="A114" s="2" t="str">
        <x:v>T113</x:v>
      </x:c>
      <x:c r="B114" s="7" t="d">
        <x:v>2026-09-01T00:00:00.000Z</x:v>
      </x:c>
      <x:c r="C114" s="2" t="str">
        <x:v>Аптека</x:v>
      </x:c>
      <x:c r="D114" s="2" t="str">
        <x:v>расход</x:v>
      </x:c>
      <x:c r="E114" s="8" t="n">
        <x:v>2060</x:v>
      </x:c>
      <x:c r="F114" s="2" t="str">
        <x:v>Здоровье</x:v>
      </x:c>
      <x:c r="G114" s="2" t="str">
        <x:v>нет</x:v>
      </x:c>
      <x:c r="H114" s="2" t="str">
        <x:f>TEXT(B114,"yyyy-mm")</x:f>
        <x:v>2026-09</x:v>
      </x:c>
    </x:row>
    <x:row r="115" ht="26" customHeight="1">
      <x:c r="A115" s="2" t="str">
        <x:v>T114</x:v>
      </x:c>
      <x:c r="B115" s="7" t="d">
        <x:v>2026-09-08T00:00:00.000Z</x:v>
      </x:c>
      <x:c r="C115" s="2" t="str">
        <x:v>Книга или курс</x:v>
      </x:c>
      <x:c r="D115" s="2" t="str">
        <x:v>расход</x:v>
      </x:c>
      <x:c r="E115" s="8" t="n">
        <x:v>2700</x:v>
      </x:c>
      <x:c r="F115" s="2" t="str">
        <x:v>Обучение</x:v>
      </x:c>
      <x:c r="G115" s="2" t="str">
        <x:v>нет</x:v>
      </x:c>
      <x:c r="H115" s="2" t="str">
        <x:f>TEXT(B115,"yyyy-mm")</x:f>
        <x:v>2026-09</x:v>
      </x:c>
    </x:row>
    <x:row r="116" ht="26" customHeight="1">
      <x:c r="A116" s="2" t="str">
        <x:v>T115</x:v>
      </x:c>
      <x:c r="B116" s="7" t="d">
        <x:v>2026-09-15T00:00:00.000Z</x:v>
      </x:c>
      <x:c r="C116" s="2" t="str">
        <x:v>Покупка продуктов</x:v>
      </x:c>
      <x:c r="D116" s="2" t="str">
        <x:v>расход</x:v>
      </x:c>
      <x:c r="E116" s="8" t="n">
        <x:v>1660</x:v>
      </x:c>
      <x:c r="F116" s="2" t="str">
        <x:v>Продукты</x:v>
      </x:c>
      <x:c r="G116" s="2" t="str">
        <x:v>нет</x:v>
      </x:c>
      <x:c r="H116" s="2" t="str">
        <x:f>TEXT(B116,"yyyy-mm")</x:f>
        <x:v>2026-09</x:v>
      </x:c>
    </x:row>
    <x:row r="117" ht="26" customHeight="1">
      <x:c r="A117" s="2" t="str">
        <x:v>T116</x:v>
      </x:c>
      <x:c r="B117" s="7" t="d">
        <x:v>2026-09-22T00:00:00.000Z</x:v>
      </x:c>
      <x:c r="C117" s="2" t="str">
        <x:v>Аптека</x:v>
      </x:c>
      <x:c r="D117" s="2" t="str">
        <x:v>расход</x:v>
      </x:c>
      <x:c r="E117" s="8" t="n">
        <x:v>1880</x:v>
      </x:c>
      <x:c r="F117" s="2" t="str">
        <x:v>Здоровье</x:v>
      </x:c>
      <x:c r="G117" s="2" t="str">
        <x:v>нет</x:v>
      </x:c>
      <x:c r="H117" s="2" t="str">
        <x:f>TEXT(B117,"yyyy-mm")</x:f>
        <x:v>2026-09</x:v>
      </x:c>
    </x:row>
    <x:row r="118" ht="26" customHeight="1">
      <x:c r="A118" s="2" t="str">
        <x:v>T117</x:v>
      </x:c>
      <x:c r="B118" s="7" t="d">
        <x:v>2026-09-01T00:00:00.000Z</x:v>
      </x:c>
      <x:c r="C118" s="2" t="str">
        <x:v>Покупка продуктов</x:v>
      </x:c>
      <x:c r="D118" s="2" t="str">
        <x:v>расход</x:v>
      </x:c>
      <x:c r="E118" s="8" t="n">
        <x:v>1610</x:v>
      </x:c>
      <x:c r="F118" s="2" t="str">
        <x:v>Продукты</x:v>
      </x:c>
      <x:c r="G118" s="2" t="str">
        <x:v>нет</x:v>
      </x:c>
      <x:c r="H118" s="2" t="str">
        <x:f>TEXT(B118,"yyyy-mm")</x:f>
        <x:v>2026-09</x:v>
      </x:c>
    </x:row>
    <x:row r="119" ht="26" customHeight="1">
      <x:c r="A119" s="2" t="str">
        <x:v>T118</x:v>
      </x:c>
      <x:c r="B119" s="7" t="d">
        <x:v>2026-09-08T00:00:00.000Z</x:v>
      </x:c>
      <x:c r="C119" s="2" t="str">
        <x:v>Кафе</x:v>
      </x:c>
      <x:c r="D119" s="2" t="str">
        <x:v>расход</x:v>
      </x:c>
      <x:c r="E119" s="8" t="n">
        <x:v>2110</x:v>
      </x:c>
      <x:c r="F119" s="2" t="str">
        <x:v>Кафе</x:v>
      </x:c>
      <x:c r="G119" s="2" t="str">
        <x:v>нет</x:v>
      </x:c>
      <x:c r="H119" s="2" t="str">
        <x:f>TEXT(B119,"yyyy-mm")</x:f>
        <x:v>2026-09</x:v>
      </x:c>
    </x:row>
    <x:row r="120" ht="26" customHeight="1">
      <x:c r="A120" s="2" t="str">
        <x:v>T119</x:v>
      </x:c>
      <x:c r="B120" s="7" t="d">
        <x:v>2026-09-15T00:00:00.000Z</x:v>
      </x:c>
      <x:c r="C120" s="2" t="str">
        <x:v>Доставка ужина</x:v>
      </x:c>
      <x:c r="D120" s="2" t="str">
        <x:v>расход</x:v>
      </x:c>
      <x:c r="E120" s="8" t="n">
        <x:v>1100</x:v>
      </x:c>
      <x:c r="F120" s="2" t="str">
        <x:v>Доставка еды</x:v>
      </x:c>
      <x:c r="G120" s="2" t="str">
        <x:v>нет</x:v>
      </x:c>
      <x:c r="H120" s="2" t="str">
        <x:f>TEXT(B120,"yyyy-mm")</x:f>
        <x:v>2026-09</x:v>
      </x:c>
    </x:row>
    <x:row r="121" ht="26" customHeight="1">
      <x:c r="A121" s="2" t="str">
        <x:v>T120</x:v>
      </x:c>
      <x:c r="B121" s="7" t="d">
        <x:v>2026-09-22T00:00:00.000Z</x:v>
      </x:c>
      <x:c r="C121" s="2" t="str">
        <x:v>Кафе</x:v>
      </x:c>
      <x:c r="D121" s="2" t="str">
        <x:v>расход</x:v>
      </x:c>
      <x:c r="E121" s="8" t="n">
        <x:v>2100</x:v>
      </x:c>
      <x:c r="F121" s="2" t="str">
        <x:v>Кафе</x:v>
      </x:c>
      <x:c r="G121" s="2" t="str">
        <x:v>нет</x:v>
      </x:c>
      <x:c r="H121" s="2" t="str">
        <x:f>TEXT(B121,"yyyy-mm")</x:f>
        <x:v>2026-09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Pr>
    <x:tabColor rgb="FF19212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24" hidden="0" customWidth="1"/>
    <x:col min="3" max="3" width="26" hidden="0" customWidth="1"/>
    <x:col min="4" max="4" width="4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 ht="34" customHeight="1">
      <x:c r="A1" s="6" t="str">
        <x:v>Семейные финансы</x:v>
      </x:c>
      <x:c r="B1" s="6" t="str">
        <x:v>Учебные данные · август–сентябрь 2026</x:v>
      </x:c>
      <x:c r="C1" s="6"/>
    </x:row>
    <x:row r="2" ht="26" customHeight="1">
      <x:c r="A2" s="2" t="str">
        <x:v>Данные не содержат начальных остатков на счетах</x:v>
      </x:c>
      <x:c r="B2" s="8"/>
      <x:c r="C2" s="8"/>
    </x:row>
    <x:row r="3" ht="26" customHeight="1">
      <x:c r="A3" s="2" t="str">
        <x:v>Месяц</x:v>
      </x:c>
      <x:c r="B3" s="44" t="str">
        <x:v>Все</x:v>
      </x:c>
      <x:c r="C3" s="8"/>
    </x:row>
    <x:row r="4" ht="26" customHeight="1">
      <x:c r="A4" s="2" t="str">
        <x:v>Сокращение кафе и доставки</x:v>
      </x:c>
      <x:c r="B4" s="45" t="n">
        <x:v>0.15</x:v>
      </x:c>
      <x:c r="C4" s="8"/>
    </x:row>
    <x:row r="5" ht="26" customHeight="1">
      <x:c r="A5" s="2"/>
      <x:c r="B5" s="8"/>
      <x:c r="C5" s="8"/>
    </x:row>
    <x:row r="6" ht="26" customHeight="1">
      <x:c r="A6" s="2" t="str">
        <x:v>Показатель</x:v>
      </x:c>
      <x:c r="B6" s="8" t="str">
        <x:v>Сумма, ₽</x:v>
      </x:c>
      <x:c r="C6" s="8"/>
    </x:row>
    <x:row r="7" ht="26" customHeight="1">
      <x:c r="A7" s="2" t="str">
        <x:v>Доходы</x:v>
      </x:c>
      <x:c r="B7" s="8" t="n">
        <x:f>SUMIFS('13_Операции'!$E$2:$E$121,'13_Операции'!$D$2:$D$121,"доход",'13_Операции'!$H$2:$H$121,IF($B$3="Все","*",$B$3))</x:f>
        <x:v>255000</x:v>
      </x:c>
      <x:c r="C7" s="8"/>
    </x:row>
    <x:row r="8" ht="26" customHeight="1">
      <x:c r="A8" s="2" t="str">
        <x:v>Чистые расходы</x:v>
      </x:c>
      <x:c r="B8" s="8" t="n">
        <x:f>SUMIFS('13_Операции'!$E$2:$E$121,'13_Операции'!$D$2:$D$121,"расход",'13_Операции'!$H$2:$H$121,IF($B$3="Все","*",$B$3))-SUMIFS('13_Операции'!$E$2:$E$121,'13_Операции'!$D$2:$D$121,"возврат покупки",'13_Операции'!$H$2:$H$121,IF($B$3="Все","*",$B$3))</x:f>
        <x:v>272247</x:v>
      </x:c>
      <x:c r="C8" s="8"/>
    </x:row>
    <x:row r="9" ht="26" customHeight="1">
      <x:c r="A9" s="2" t="str">
        <x:v>Доходы минус расходы</x:v>
      </x:c>
      <x:c r="B9" s="8" t="n">
        <x:f>B7-B8</x:f>
        <x:v>-17247</x:v>
      </x:c>
      <x:c r="C9" s="8"/>
    </x:row>
    <x:row r="10" ht="26" customHeight="1">
      <x:c r="A10" s="2" t="str">
        <x:v>Экономия по условию</x:v>
      </x:c>
      <x:c r="B10" s="8" t="n">
        <x:f>(SUMIFS('13_Операции'!$E$2:$E$121,'13_Операции'!$D$2:$D$121,"расход",'13_Операции'!$H$2:$H$121,IF($B$3="Все","*",$B$3),'13_Операции'!$F$2:$F$121,"Кафе")+SUMIFS('13_Операции'!$E$2:$E$121,'13_Операции'!$D$2:$D$121,"расход",'13_Операции'!$H$2:$H$121,IF($B$3="Все","*",$B$3),'13_Операции'!$F$2:$F$121,"Доставка еды"))*$B$4</x:f>
        <x:v>7800</x:v>
      </x:c>
      <x:c r="C10" s="8"/>
    </x:row>
    <x:row r="11" ht="26" customHeight="1">
      <x:c r="A11" s="2" t="str">
        <x:v>Расходы по сценарию</x:v>
      </x:c>
      <x:c r="B11" s="8" t="n">
        <x:f>B8-B10</x:f>
        <x:v>264447</x:v>
      </x:c>
      <x:c r="C11" s="8"/>
    </x:row>
    <x:row r="12" ht="26" customHeight="1">
      <x:c r="A12" s="2"/>
      <x:c r="B12" s="8"/>
      <x:c r="C12" s="8"/>
    </x:row>
    <x:row r="13" ht="26" customHeight="1">
      <x:c r="A13" s="2" t="str">
        <x:v>Категория</x:v>
      </x:c>
      <x:c r="B13" s="8" t="str">
        <x:v>Расходы, ₽</x:v>
      </x:c>
      <x:c r="C13" s="8"/>
    </x:row>
    <x:row r="14" ht="26" customHeight="1">
      <x:c r="A14" s="2" t="str">
        <x:v>Продукты</x:v>
      </x:c>
      <x:c r="B14" s="8" t="n">
        <x:f>SUMIFS('13_Операции'!$E$2:$E$121,'13_Операции'!$D$2:$D$121,"расход",'13_Операции'!$H$2:$H$121,IF($B$3="Все","*",$B$3),'13_Операции'!$F$2:$F$121,A14)</x:f>
        <x:v>48560</x:v>
      </x:c>
      <x:c r="C14" s="8"/>
    </x:row>
    <x:row r="15" ht="26" customHeight="1">
      <x:c r="A15" s="2" t="str">
        <x:v>Транспорт</x:v>
      </x:c>
      <x:c r="B15" s="8" t="n">
        <x:f>SUMIFS('13_Операции'!$E$2:$E$121,'13_Операции'!$D$2:$D$121,"расход",'13_Операции'!$H$2:$H$121,IF($B$3="Все","*",$B$3),'13_Операции'!$F$2:$F$121,A15)</x:f>
        <x:v>8570</x:v>
      </x:c>
      <x:c r="C15" s="8"/>
    </x:row>
    <x:row r="16" ht="26" customHeight="1">
      <x:c r="A16" s="2" t="str">
        <x:v>Кафе</x:v>
      </x:c>
      <x:c r="B16" s="8" t="n">
        <x:f>SUMIFS('13_Операции'!$E$2:$E$121,'13_Операции'!$D$2:$D$121,"расход",'13_Операции'!$H$2:$H$121,IF($B$3="Все","*",$B$3),'13_Операции'!$F$2:$F$121,A16)</x:f>
        <x:v>18890</x:v>
      </x:c>
      <x:c r="C16" s="8"/>
    </x:row>
    <x:row r="17" ht="26" customHeight="1">
      <x:c r="A17" s="2" t="str">
        <x:v>Доставка еды</x:v>
      </x:c>
      <x:c r="B17" s="8" t="n">
        <x:f>SUMIFS('13_Операции'!$E$2:$E$121,'13_Операции'!$D$2:$D$121,"расход",'13_Операции'!$H$2:$H$121,IF($B$3="Все","*",$B$3),'13_Операции'!$F$2:$F$121,A17)</x:f>
        <x:v>33110</x:v>
      </x:c>
      <x:c r="C17" s="8"/>
    </x:row>
    <x:row r="18" ht="26" customHeight="1">
      <x:c r="A18" s="2" t="str">
        <x:v>Жильё</x:v>
      </x:c>
      <x:c r="B18" s="8" t="n">
        <x:f>SUMIFS('13_Операции'!$E$2:$E$121,'13_Операции'!$D$2:$D$121,"расход",'13_Операции'!$H$2:$H$121,IF($B$3="Все","*",$B$3),'13_Операции'!$F$2:$F$121,A18)</x:f>
        <x:v>90000</x:v>
      </x:c>
      <x:c r="C18" s="8"/>
    </x:row>
    <x:row r="19" ht="26" customHeight="1">
      <x:c r="A19" s="2" t="str">
        <x:v>Здоровье</x:v>
      </x:c>
      <x:c r="B19" s="8" t="n">
        <x:f>SUMIFS('13_Операции'!$E$2:$E$121,'13_Операции'!$D$2:$D$121,"расход",'13_Операции'!$H$2:$H$121,IF($B$3="Все","*",$B$3),'13_Операции'!$F$2:$F$121,A19)</x:f>
        <x:v>22960</x:v>
      </x:c>
      <x:c r="C19" s="8"/>
    </x:row>
    <x:row r="20" ht="26" customHeight="1">
      <x:c r="A20" s="2" t="str">
        <x:v>Подписки</x:v>
      </x:c>
      <x:c r="B20" s="8" t="n">
        <x:f>SUMIFS('13_Операции'!$E$2:$E$121,'13_Операции'!$D$2:$D$121,"расход",'13_Операции'!$H$2:$H$121,IF($B$3="Все","*",$B$3),'13_Операции'!$F$2:$F$121,A20)</x:f>
        <x:v>1497</x:v>
      </x:c>
      <x:c r="C20" s="8"/>
    </x:row>
    <x:row r="21" ht="26" customHeight="1">
      <x:c r="A21" s="2" t="str">
        <x:v>Обучение</x:v>
      </x:c>
      <x:c r="B21" s="8" t="n">
        <x:f>SUMIFS('13_Операции'!$E$2:$E$121,'13_Операции'!$D$2:$D$121,"расход",'13_Операции'!$H$2:$H$121,IF($B$3="Все","*",$B$3),'13_Операции'!$F$2:$F$121,A21)</x:f>
        <x:v>29700</x:v>
      </x:c>
      <x:c r="C21" s="8"/>
    </x:row>
    <x:row r="22" ht="26" customHeight="1">
      <x:c r="A22" s="2" t="str">
        <x:v>Прочее</x:v>
      </x:c>
      <x:c r="B22" s="8" t="n">
        <x:f>SUMIFS('13_Операции'!$E$2:$E$121,'13_Операции'!$D$2:$D$121,"расход",'13_Операции'!$H$2:$H$121,IF($B$3="Все","*",$B$3),'13_Операции'!$F$2:$F$121,A22)</x:f>
        <x:v>20760</x:v>
      </x:c>
      <x:c r="C22" s="8"/>
    </x:row>
    <x:row r="23" ht="26" customHeight="1">
      <x:c r="A23" s="2" t="str">
        <x:v>Не определено</x:v>
      </x:c>
      <x:c r="B23" s="8" t="n">
        <x:f>SUMIFS('13_Операции'!$E$2:$E$121,'13_Операции'!$D$2:$D$121,"расход",'13_Операции'!$H$2:$H$121,IF($B$3="Все","*",$B$3),'13_Операции'!$F$2:$F$121,A23)</x:f>
        <x:v>3000</x:v>
      </x:c>
      <x:c r="C23" s="8"/>
    </x:row>
    <x:row r="24" ht="26" customHeight="1">
      <x:c r="A24" s="2"/>
      <x:c r="B24" s="8"/>
      <x:c r="C24" s="8"/>
    </x:row>
    <x:row r="25" ht="26" customHeight="1">
      <x:c r="A25" s="2" t="str">
        <x:v>Месяц</x:v>
      </x:c>
      <x:c r="B25" s="8" t="str">
        <x:v>Доходы, ₽</x:v>
      </x:c>
      <x:c r="C25" s="8" t="str">
        <x:v>Чистые расходы, ₽</x:v>
      </x:c>
    </x:row>
    <x:row r="26" ht="26" customHeight="1">
      <x:c r="A26" s="2" t="str">
        <x:v>2026-08</x:v>
      </x:c>
      <x:c r="B26" s="8" t="n">
        <x:f>IF(OR($B$3="Все",$B$3=A26),SUMIFS('13_Операции'!$E$2:$E$121,'13_Операции'!$D$2:$D$121,"доход",'13_Операции'!$H$2:$H$121,A26),0)</x:f>
        <x:v>85000</x:v>
      </x:c>
      <x:c r="C26" s="8" t="n">
        <x:f>IF(OR($B$3="Все",$B$3=A26),SUMIFS('13_Операции'!$E$2:$E$121,'13_Операции'!$D$2:$D$121,"расход",'13_Операции'!$H$2:$H$121,A26)-SUMIFS('13_Операции'!$E$2:$E$121,'13_Операции'!$D$2:$D$121,"возврат покупки",'13_Операции'!$H$2:$H$121,A26),0)</x:f>
        <x:v>106809</x:v>
      </x:c>
    </x:row>
    <x:row r="27" ht="26" customHeight="1">
      <x:c r="A27" s="2" t="str">
        <x:v>2026-09</x:v>
      </x:c>
      <x:c r="B27" s="8" t="n">
        <x:f>IF(OR($B$3="Все",$B$3=A27),SUMIFS('13_Операции'!$E$2:$E$121,'13_Операции'!$D$2:$D$121,"доход",'13_Операции'!$H$2:$H$121,A27),0)</x:f>
        <x:v>170000</x:v>
      </x:c>
      <x:c r="C27" s="8" t="n">
        <x:f>IF(OR($B$3="Все",$B$3=A27),SUMIFS('13_Операции'!$E$2:$E$121,'13_Операции'!$D$2:$D$121,"расход",'13_Операции'!$H$2:$H$121,A27)-SUMIFS('13_Операции'!$E$2:$E$121,'13_Операции'!$D$2:$D$121,"возврат покупки",'13_Операции'!$H$2:$H$121,A27),0)</x:f>
        <x:v>165438</x:v>
      </x:c>
    </x:row>
    <x:row r="28" ht="26" customHeight="1">
      <x:c r="A28" s="2"/>
      <x:c r="B28" s="8"/>
      <x:c r="C28" s="8"/>
    </x:row>
    <x:row r="29" ht="26" customHeight="1">
      <x:c r="A29" s="2" t="str">
        <x:v>Переводы между своими счетами исключены. Возвраты уменьшают расходы.</x:v>
      </x:c>
      <x:c r="B29" s="8"/>
      <x:c r="C29" s="8"/>
    </x:row>
  </x:sheetData>
  <x:dataValidations count="1">
    <x:dataValidation type="list" sqref="B3">
      <x:formula1>"Все,2026-08,2026-09"</x:formula1>
    </x:dataValidation>
  </x:dataValidations>
  <x:pageMargins left="0.7" right="0.7" top="0.75" bottom="0.75" header="0.3" footer="0.3"/>
  <x:drawing xmlns:r="http://schemas.openxmlformats.org/officeDocument/2006/relationships" r:id="R797df21e84bc4c86"/>
</x:worksheet>
</file>

<file path=xl/worksheets/sheet20.xml><?xml version="1.0" encoding="utf-8"?>
<x:worksheet xmlns:x="http://schemas.openxmlformats.org/spreadsheetml/2006/main">
  <x:sheetPr>
    <x:tabColor rgb="FF19212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05" hidden="0" customWidth="1"/>
  </x:cols>
  <x:sheetData>
    <x:row r="1" ht="34" customHeight="1">
      <x:c r="A1" s="13" t="str">
        <x:v>Задания для самостоятельной работы</x:v>
      </x:c>
      <x:c r="B1" s="11"/>
    </x:row>
    <x:row r="2" ht="26" customHeight="1">
      <x:c r="A2" s="12" t="str">
        <x:v>Выберите один кейс. Ответьте на его вопрос, выполните задание и сохраните результат.</x:v>
      </x:c>
      <x:c r="B2" s="48"/>
    </x:row>
    <x:row r="3" ht="26" customHeight="1">
      <x:c r="A3" s="12"/>
      <x:c r="B3" s="48"/>
    </x:row>
    <x:row r="4" ht="26" customHeight="1">
      <x:c r="A4" s="5" t="str">
        <x:v>1. Магазин: веб-дашборд</x:v>
      </x:c>
      <x:c r="B4" s="6"/>
    </x:row>
    <x:row r="5" ht="26" customHeight="1">
      <x:c r="A5" s="12" t="str">
        <x:v>Где выполнять</x:v>
      </x:c>
      <x:c r="B5" s="48" t="str">
        <x:v>Обычный ChatGPT</x:v>
      </x:c>
    </x:row>
    <x:row r="6" ht="26" customHeight="1">
      <x:c r="A6" s="12" t="str">
        <x:v>Файл или вкладка</x:v>
      </x:c>
      <x:c r="B6" s="48" t="str">
        <x:v>orders.xlsx</x:v>
      </x:c>
    </x:row>
    <x:row r="7" ht="180" customHeight="1">
      <x:c r="A7" s="12" t="str">
        <x:v>Вопрос и задание</x:v>
      </x:c>
      <x:c r="B7" s="48" t="str">
        <x:v>Вопрос: Какой канал дал больше валовой прибыли в сентябре? Совпадает ли он с лидером по выручке? Задание: В чате с orders.xlsx добавьте в веб-дашборд переключатель «Выручка / Валовая прибыль». Выберите сентябрь и все каналы, сравните каналы по обоим показателям. Учитывайте только оплаченные заказы.</x:v>
      </x:c>
    </x:row>
    <x:row r="8" ht="75" customHeight="1">
      <x:c r="A8" s="12" t="str">
        <x:v>Что сохранить</x:v>
      </x:c>
      <x:c r="B8" s="48" t="str">
        <x:v>HTML, скриншот сентября и ответ: лидеры по выручке и прибыли с суммами.</x:v>
      </x:c>
    </x:row>
    <x:row r="9" ht="26" customHeight="1">
      <x:c r="A9" s="12"/>
      <x:c r="B9" s="48"/>
    </x:row>
    <x:row r="10" ht="26" customHeight="1">
      <x:c r="A10" s="5" t="str">
        <x:v>2. Магазин: формулы Excel</x:v>
      </x:c>
      <x:c r="B10" s="6"/>
    </x:row>
    <x:row r="11" ht="26" customHeight="1">
      <x:c r="A11" s="12" t="str">
        <x:v>Где выполнять</x:v>
      </x:c>
      <x:c r="B11" s="48" t="str">
        <x:v>Обычный ChatGPT → Excel</x:v>
      </x:c>
    </x:row>
    <x:row r="12" ht="26" customHeight="1">
      <x:c r="A12" s="12" t="str">
        <x:v>Файл или вкладка</x:v>
      </x:c>
      <x:c r="B12" s="48" t="str">
        <x:v>store-before.xlsx</x:v>
      </x:c>
    </x:row>
    <x:row r="13" ht="180" customHeight="1">
      <x:c r="A13" s="12" t="str">
        <x:v>Вопрос и задание</x:v>
      </x:c>
      <x:c r="B13" s="48" t="str">
        <x:v>Вопрос: Как изменятся выручка и валовая прибыль первого заказа и всего магазина, если повысить цену с 1000 до 1200 рублей? Задание: В чате с store-before.xlsx сначала исправьте формулы и сохраните исходные итоги. Затем измените «Заказы»!F2 на 1200. Получите XLSX с формулами и таблицу «Показатель | До | После | Изменение» для первого заказа и магазина в целом. Остальные данные сохраните.</x:v>
      </x:c>
    </x:row>
    <x:row r="14" ht="75" customHeight="1">
      <x:c r="A14" s="12" t="str">
        <x:v>Что сохранить</x:v>
      </x:c>
      <x:c r="B14" s="48" t="str">
        <x:v>XLSX с формулами и сравнение до/после: выручка и прибыль первого заказа и магазина.</x:v>
      </x:c>
    </x:row>
    <x:row r="15" ht="26" customHeight="1">
      <x:c r="A15" s="12"/>
      <x:c r="B15" s="48"/>
    </x:row>
    <x:row r="16" ht="26" customHeight="1">
      <x:c r="A16" s="5" t="str">
        <x:v>3. Семья: сообщения и чеки</x:v>
      </x:c>
      <x:c r="B16" s="6"/>
    </x:row>
    <x:row r="17" ht="26" customHeight="1">
      <x:c r="A17" s="12" t="str">
        <x:v>Где выполнять</x:v>
      </x:c>
      <x:c r="B17" s="48" t="str">
        <x:v>Обычный ChatGPT → Excel</x:v>
      </x:c>
    </x:row>
    <x:row r="18" ht="26" customHeight="1">
      <x:c r="A18" s="12" t="str">
        <x:v>Файл или вкладка</x:v>
      </x:c>
      <x:c r="B18" s="48" t="str">
        <x:v>family-chat.pdf</x:v>
      </x:c>
    </x:row>
    <x:row r="19" ht="180" customHeight="1">
      <x:c r="A19" s="12" t="str">
        <x:v>Вопрос и задание</x:v>
      </x:c>
      <x:c r="B19" s="48" t="str">
        <x:v>Вопрос: Как изменятся расходы Максима по категориям, если выяснится назначение покупки на 950 рублей? Задание: В чате с семейным отчётом уточните: покупка Максима за 950 рублей из M015 является набором для лепки. Перенесите её в «Развлечения» без добавления новой операции. Сравните категории Максима до и после; проверьте, что общий расход семьи не изменился.</x:v>
      </x:c>
    </x:row>
    <x:row r="20" ht="75" customHeight="1">
      <x:c r="A20" s="12" t="str">
        <x:v>Что сохранить</x:v>
      </x:c>
      <x:c r="B20" s="48" t="str">
        <x:v>Обновлённый XLSX и суммы категорий Максима до/после; общий расход семьи до/после.</x:v>
      </x:c>
    </x:row>
    <x:row r="21" ht="26" customHeight="1">
      <x:c r="A21" s="12"/>
      <x:c r="B21" s="48"/>
    </x:row>
    <x:row r="22" ht="26" customHeight="1">
      <x:c r="A22" s="5" t="str">
        <x:v>4. Семья: дашборд и экономия</x:v>
      </x:c>
      <x:c r="B22" s="6"/>
    </x:row>
    <x:row r="23" ht="26" customHeight="1">
      <x:c r="A23" s="12" t="str">
        <x:v>Где выполнять</x:v>
      </x:c>
      <x:c r="B23" s="48" t="str">
        <x:v>Тот же чат семейного кейса → HTML</x:v>
      </x:c>
    </x:row>
    <x:row r="24" ht="26" customHeight="1">
      <x:c r="A24" s="12" t="str">
        <x:v>Файл или вкладка</x:v>
      </x:c>
      <x:c r="B24" s="48" t="str">
        <x:v>family-report.xlsx → family-dashboard.html</x:v>
      </x:c>
    </x:row>
    <x:row r="25" ht="180" customHeight="1">
      <x:c r="A25" s="12" t="str">
        <x:v>Вопрос и задание</x:v>
      </x:c>
      <x:c r="B25" s="48" t="str">
        <x:v>Вопрос: Кто больше потратил в сентябре, какие три категории дали наибольшие расходы семьи и сколько сэкономим на кафе и ресторанах при сокращении на 20%? Задание: В том же семейном чате по family-report.xlsx создайте HTML-дашборд с фильтрами месяца и плательщика, расходами по людям и категориям. Добавьте сокращение кафе и ресторанов на 20%, выберите сентябрь и всех плательщиков. Для сентябрьского сценария используйте только чеки R11 и R14; продукты и остальные траты сохраните.</x:v>
      </x:c>
    </x:row>
    <x:row r="26" ht="75" customHeight="1">
      <x:c r="A26" s="12" t="str">
        <x:v>Что сохранить</x:v>
      </x:c>
      <x:c r="B26" s="48" t="str">
        <x:v>HTML, скриншот сентября; лидер по тратам, три категории с суммами, экономия и новые расходы.</x:v>
      </x:c>
    </x:row>
    <x:row r="27" ht="26" customHeight="1">
      <x:c r="A27" s="12"/>
      <x:c r="B27" s="48"/>
    </x:row>
    <x:row r="28" ht="26" customHeight="1">
      <x:c r="A28" s="5" t="str">
        <x:v>5. Отзывы</x:v>
      </x:c>
      <x:c r="B28" s="6"/>
    </x:row>
    <x:row r="29" ht="26" customHeight="1">
      <x:c r="A29" s="12" t="str">
        <x:v>Где выполнять</x:v>
      </x:c>
      <x:c r="B29" s="48" t="str">
        <x:v>Обычный ChatGPT</x:v>
      </x:c>
    </x:row>
    <x:row r="30" ht="26" customHeight="1">
      <x:c r="A30" s="12" t="str">
        <x:v>Файл или вкладка</x:v>
      </x:c>
      <x:c r="B30" s="48" t="str">
        <x:v>reviews.xlsx</x:v>
      </x:c>
    </x:row>
    <x:row r="31" ht="180" customHeight="1">
      <x:c r="A31" s="12" t="str">
        <x:v>Вопрос и задание</x:v>
      </x:c>
      <x:c r="B31" s="48" t="str">
        <x:v>Вопрос: Какие три проблемы чаще встречаются в отрицательных и смешанных отзывах? Что исправить первым? Задание: В чате с reviews.xlsx добавьте к 200 строкам одну основную тему и тональность на исходном листе. Среди отрицательных и смешанных выберите три частые проблемы. Постройте сводку и график с числом и долей отзывов, добавьте цитату и конкретное улучшение для каждой проблемы. Доли считайте от общего числа отрицательных и смешанных отзывов.</x:v>
      </x:c>
    </x:row>
    <x:row r="32" ht="75" customHeight="1">
      <x:c r="A32" s="12" t="str">
        <x:v>Что сохранить</x:v>
      </x:c>
      <x:c r="B32" s="48" t="str">
        <x:v>XLSX с разметкой, сводкой и графиком; три проблемы с числами и предлагаемые улучшения.</x:v>
      </x:c>
    </x:row>
    <x:row r="33" ht="26" customHeight="1">
      <x:c r="A33" s="12"/>
      <x:c r="B33" s="48"/>
    </x:row>
    <x:row r="34" ht="26" customHeight="1">
      <x:c r="A34" s="5" t="str">
        <x:v>6. Отзывы в Google</x:v>
      </x:c>
      <x:c r="B34" s="6"/>
    </x:row>
    <x:row r="35" ht="26" customHeight="1">
      <x:c r="A35" s="12" t="str">
        <x:v>Где выполнять</x:v>
      </x:c>
      <x:c r="B35" s="48" t="str">
        <x:v>Своя Google-копия + панель ChatGPT</x:v>
      </x:c>
    </x:row>
    <x:row r="36" ht="26" customHeight="1">
      <x:c r="A36" s="12" t="str">
        <x:v>Файл или вкладка</x:v>
      </x:c>
      <x:c r="B36" s="48" t="str">
        <x:v>04_Отзывы</x:v>
      </x:c>
    </x:row>
    <x:row r="37" ht="180" customHeight="1">
      <x:c r="A37" s="12" t="str">
        <x:v>Вопрос и задание</x:v>
      </x:c>
      <x:c r="B37" s="48" t="str">
        <x:v>Вопрос: О чём чаще жалуются в отзывах R013–R024 и сколько раз встречается эта проблема? Задание: В панели ChatGPT своей Google-копии разметьте R013–R024 на 04_Отзывы в H14:K25: основная тема, тональность, цитата, нужна ли проверка. По отрицательным и смешанным посчитайте число жалоб по темам. Если жалоб нет, так и напишите. При равенстве назовите все темы-лидеры.</x:v>
      </x:c>
    </x:row>
    <x:row r="38" ht="75" customHeight="1">
      <x:c r="A38" s="12" t="str">
        <x:v>Что сохранить</x:v>
      </x:c>
      <x:c r="B38" s="48" t="str">
        <x:v>Ссылка на свою книгу, скриншот G14:K25, частая жалоба и число отзывов с ней.</x:v>
      </x:c>
    </x:row>
    <x:row r="39" ht="26" customHeight="1">
      <x:c r="A39" s="12"/>
      <x:c r="B39" s="48"/>
    </x:row>
    <x:row r="40" ht="26" customHeight="1">
      <x:c r="A40" s="5" t="str">
        <x:v>7. Денежная модель</x:v>
      </x:c>
      <x:c r="B40" s="6"/>
    </x:row>
    <x:row r="41" ht="26" customHeight="1">
      <x:c r="A41" s="12" t="str">
        <x:v>Где выполнять</x:v>
      </x:c>
      <x:c r="B41" s="48" t="str">
        <x:v>Своя Google-копия + панель ChatGPT</x:v>
      </x:c>
    </x:row>
    <x:row r="42" ht="26" customHeight="1">
      <x:c r="A42" s="12" t="str">
        <x:v>Файл или вкладка</x:v>
      </x:c>
      <x:c r="B42" s="48" t="str">
        <x:v>07_Операции_бизнес</x:v>
      </x:c>
    </x:row>
    <x:row r="43" ht="180" customHeight="1">
      <x:c r="A43" s="12" t="str">
        <x:v>Вопрос и задание</x:v>
      </x:c>
      <x:c r="B43" s="48" t="str">
        <x:v>Вопрос: Сколько бизнес сэкономит за три месяца, сократив рекламу на 50%, и каким станет денежный результат? Задание: В панели ChatGPT постройте денежную модель по 07_Операции_бизнес. На этом же листе задайте B16 = 50%. Покажите рекламные расходы до и после, экономию и денежный результат до и после. Изменение относится только к рекламным расходам, остальные операции сохраните.</x:v>
      </x:c>
    </x:row>
    <x:row r="44" ht="75" customHeight="1">
      <x:c r="A44" s="12" t="str">
        <x:v>Что сохранить</x:v>
      </x:c>
      <x:c r="B44" s="48" t="str">
        <x:v>Ссылка на свою книгу, скриншот A3:E18; рекламные расходы, экономия и результат до/после.</x:v>
      </x:c>
    </x:row>
    <x:row r="45" ht="26" customHeight="1">
      <x:c r="A45" s="12"/>
      <x:c r="B45" s="48"/>
    </x:row>
    <x:row r="46" ht="26" customHeight="1">
      <x:c r="A46" s="5" t="str">
        <x:v>8. Сводная</x:v>
      </x:c>
      <x:c r="B46" s="6"/>
    </x:row>
    <x:row r="47" ht="26" customHeight="1">
      <x:c r="A47" s="12" t="str">
        <x:v>Где выполнять</x:v>
      </x:c>
      <x:c r="B47" s="48" t="str">
        <x:v>Своя Google-копия + панель ChatGPT</x:v>
      </x:c>
    </x:row>
    <x:row r="48" ht="26" customHeight="1">
      <x:c r="A48" s="12" t="str">
        <x:v>Файл или вкладка</x:v>
      </x:c>
      <x:c r="B48" s="48" t="str">
        <x:v>09_Заказы</x:v>
      </x:c>
    </x:row>
    <x:row r="49" ht="180" customHeight="1">
      <x:c r="A49" s="12" t="str">
        <x:v>Вопрос и задание</x:v>
      </x:c>
      <x:c r="B49" s="48" t="str">
        <x:v>Вопрос: Какой канал принёс больше валовой прибыли за три месяца и менялся ли лидер от месяца к месяцу? Задание: В панели ChatGPT создайте нативную сводную на новом листе «Прибыль по каналам»: источник 09_Заказы!A1:M241, строки Месяц (M), столбцы Канал (D), сумма Валовая_прибыль (L). Найдите лидера по каждому месяцу и по общему итогу. Учитывайте только оплаченные заказы.</x:v>
      </x:c>
    </x:row>
    <x:row r="50" ht="75" customHeight="1">
      <x:c r="A50" s="12" t="str">
        <x:v>Что сохранить</x:v>
      </x:c>
      <x:c r="B50" s="48" t="str">
        <x:v>Ссылка на свою книгу и сводная; лидер за три месяца, лидеры каждого месяца с суммами.</x:v>
      </x:c>
    </x:row>
    <x:row r="51" ht="26" customHeight="1">
      <x:c r="A51" s="12"/>
      <x:c r="B51" s="48"/>
    </x:row>
    <x:row r="52" ht="26" customHeight="1">
      <x:c r="A52" s="5" t="str">
        <x:v>9. Дашборд в книге</x:v>
      </x:c>
      <x:c r="B52" s="6"/>
    </x:row>
    <x:row r="53" ht="26" customHeight="1">
      <x:c r="A53" s="12" t="str">
        <x:v>Где выполнять</x:v>
      </x:c>
      <x:c r="B53" s="48" t="str">
        <x:v>Своя Google-копия + панель ChatGPT</x:v>
      </x:c>
    </x:row>
    <x:row r="54" ht="26" customHeight="1">
      <x:c r="A54" s="12" t="str">
        <x:v>Файл или вкладка</x:v>
      </x:c>
      <x:c r="B54" s="48" t="str">
        <x:v>12_Дашборд_работа</x:v>
      </x:c>
    </x:row>
    <x:row r="55" ht="180" customHeight="1">
      <x:c r="A55" s="12" t="str">
        <x:v>Вопрос и задание</x:v>
      </x:c>
      <x:c r="B55" s="48" t="str">
        <x:v>Вопрос: Какая доля выручки сайта за сентябрь остаётся в валовой прибыли и как она отличается от доли по всем каналам? Задание: В своей Google-копии попросите панель ChatGPT добавить A38 «Доля валовой прибыли», A39 =J6/D6, формат процентов. Выберите B3 = 2026-09, сравните G3 = Сайт и G3 = Все. Найдите разницу долей в процентных пунктах.</x:v>
      </x:c>
    </x:row>
    <x:row r="56" ht="75" customHeight="1">
      <x:c r="A56" s="12" t="str">
        <x:v>Что сохранить</x:v>
      </x:c>
      <x:c r="B56" s="48" t="str">
        <x:v>Ссылка на свою книгу и два скриншота; обе доли в процентах и разница в процентных пунктах.</x:v>
      </x:c>
    </x:row>
    <x:row r="57" ht="26" customHeight="1">
      <x:c r="A57" s="12"/>
      <x:c r="B57" s="48"/>
    </x:row>
  </x:sheetData>
  <x:mergeCells>
    <x:mergeCell ref="A1:B1"/>
    <x:mergeCell ref="A2:B2"/>
    <x:mergeCell ref="A4:B4"/>
    <x:mergeCell ref="A10:B10"/>
    <x:mergeCell ref="A16:B16"/>
    <x:mergeCell ref="A22:B22"/>
    <x:mergeCell ref="A28:B28"/>
    <x:mergeCell ref="A34:B34"/>
    <x:mergeCell ref="A40:B40"/>
    <x:mergeCell ref="A46:B46"/>
    <x:mergeCell ref="A52:B52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Pr>
    <x:tabColor rgb="FF19212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5" hidden="0" customWidth="1"/>
    <x:col min="4" max="4" width="22" hidden="0" customWidth="1"/>
    <x:col min="5" max="5" width="14" hidden="0" customWidth="1"/>
    <x:col min="6" max="6" width="22" hidden="0" customWidth="1"/>
    <x:col min="7" max="7" width="22" hidden="0" customWidth="1"/>
    <x:col min="8" max="8" width="25" hidden="0" customWidth="1"/>
    <x:col min="9" max="9" width="18" hidden="0" customWidth="1"/>
    <x:col min="10" max="10" width="19" hidden="0" customWidth="1"/>
    <x:col min="11" max="11" width="24" hidden="0" customWidth="1"/>
    <x:col min="12" max="12" width="22" hidden="0" customWidth="1"/>
    <x:col min="13" max="13" width="15" hidden="0" customWidth="1"/>
    <x:col min="14" max="14" width="4" hidden="0" customWidth="1"/>
    <x:col min="15" max="15" width="30" hidden="0" customWidth="1"/>
    <x:col min="16" max="16" width="24" hidden="0" customWidth="1"/>
  </x:cols>
  <x:sheetData>
    <x:row r="1" ht="34" customHeight="1">
      <x:c r="A1" s="6" t="str">
        <x:v>ID_заказа</x:v>
      </x:c>
      <x:c r="B1" s="6" t="str">
        <x:v>Дата</x:v>
      </x:c>
      <x:c r="C1" s="6" t="str">
        <x:v>Товар</x:v>
      </x:c>
      <x:c r="D1" s="6" t="str">
        <x:v>Канал</x:v>
      </x:c>
      <x:c r="E1" s="6" t="str">
        <x:v>Количество</x:v>
      </x:c>
      <x:c r="F1" s="6" t="str">
        <x:v>Цена_за_единицу</x:v>
      </x:c>
      <x:c r="G1" s="6" t="str">
        <x:v>Скидка_на_заказ</x:v>
      </x:c>
      <x:c r="H1" s="6" t="str">
        <x:v>Себестоимость_единицы</x:v>
      </x:c>
      <x:c r="I1" s="6" t="str">
        <x:v>Статус</x:v>
      </x:c>
      <x:c r="J1" s="6" t="str">
        <x:v>Выручка</x:v>
      </x:c>
      <x:c r="K1" s="6" t="str">
        <x:v>Себестоимость_заказа</x:v>
      </x:c>
      <x:c r="L1" s="6" t="str">
        <x:v>Валовая_прибыль</x:v>
      </x:c>
      <x:c r="M1" s="6" t="str">
        <x:v>Месяц</x:v>
      </x:c>
      <x:c r="N1" s="6"/>
      <x:c r="O1" s="6" t="str">
        <x:v>Показатель</x:v>
      </x:c>
      <x:c r="P1" s="6" t="str">
        <x:v>Итог</x:v>
      </x:c>
    </x:row>
    <x:row r="2" ht="26" customHeight="1">
      <x:c r="A2" s="2" t="str">
        <x:v>O001</x:v>
      </x:c>
      <x:c r="B2" s="7" t="d">
        <x:v>2026-07-01T00:00:00.000Z</x:v>
      </x:c>
      <x:c r="C2" s="2" t="str">
        <x:v>Планер</x:v>
      </x:c>
      <x:c r="D2" s="2" t="str">
        <x:v>Сайт</x:v>
      </x:c>
      <x:c r="E2" s="29" t="n">
        <x:v>2</x:v>
      </x:c>
      <x:c r="F2" s="8" t="n">
        <x:v>1000</x:v>
      </x:c>
      <x:c r="G2" s="8" t="n">
        <x:v>0</x:v>
      </x:c>
      <x:c r="H2" s="8" t="n">
        <x:v>400</x:v>
      </x:c>
      <x:c r="I2" s="2" t="str">
        <x:v>оплачен</x:v>
      </x:c>
      <x:c r="J2" s="8" t="n">
        <x:f>IF(I2="оплачен",E2*F2-G2,0)</x:f>
        <x:v>2000</x:v>
      </x:c>
      <x:c r="K2" s="8"/>
      <x:c r="L2" s="8" t="n">
        <x:f>J2-K2</x:f>
        <x:v>2000</x:v>
      </x:c>
      <x:c r="M2" s="2" t="str">
        <x:f>TEXT(B2,"yyyy-mm")</x:f>
        <x:v>2026-07</x:v>
      </x:c>
      <x:c r="N2" s="2"/>
      <x:c r="O2" s="2" t="str">
        <x:v>Выручка</x:v>
      </x:c>
      <x:c r="P2" s="2" t="n">
        <x:f>SUM(J2:J240)</x:f>
        <x:v>941403</x:v>
      </x:c>
    </x:row>
    <x:row r="3" ht="26" customHeight="1">
      <x:c r="A3" s="2" t="str">
        <x:v>O002</x:v>
      </x:c>
      <x:c r="B3" s="7" t="d">
        <x:v>2026-07-02T00:00:00.000Z</x:v>
      </x:c>
      <x:c r="C3" s="2" t="str">
        <x:v>Планер</x:v>
      </x:c>
      <x:c r="D3" s="2" t="str">
        <x:v>Сайт</x:v>
      </x:c>
      <x:c r="E3" s="29" t="n">
        <x:v>3</x:v>
      </x:c>
      <x:c r="F3" s="8" t="n">
        <x:v>800</x:v>
      </x:c>
      <x:c r="G3" s="8" t="n">
        <x:v>72</x:v>
      </x:c>
      <x:c r="H3" s="8" t="n">
        <x:v>280</x:v>
      </x:c>
      <x:c r="I3" s="2" t="str">
        <x:v>оплачен</x:v>
      </x:c>
      <x:c r="J3" s="8" t="n">
        <x:f>IF(I3="оплачен",E3*F3-G3,0)</x:f>
        <x:v>2328</x:v>
      </x:c>
      <x:c r="K3" s="8"/>
      <x:c r="L3" s="8" t="n">
        <x:f>J3-K3</x:f>
        <x:v>2328</x:v>
      </x:c>
      <x:c r="M3" s="2" t="str">
        <x:f>TEXT(B3,"yyyy-mm")</x:f>
        <x:v>2026-07</x:v>
      </x:c>
      <x:c r="N3" s="2"/>
      <x:c r="O3" s="2" t="str">
        <x:v>Валовая прибыль</x:v>
      </x:c>
      <x:c r="P3" s="2" t="n">
        <x:f>SUM(L2:L241)</x:f>
        <x:v>942811</x:v>
      </x:c>
    </x:row>
    <x:row r="4" ht="26" customHeight="1">
      <x:c r="A4" s="2" t="str">
        <x:v>O003</x:v>
      </x:c>
      <x:c r="B4" s="7" t="d">
        <x:v>2026-07-03T00:00:00.000Z</x:v>
      </x:c>
      <x:c r="C4" s="2" t="str">
        <x:v>Рюкзак</x:v>
      </x:c>
      <x:c r="D4" s="2" t="str">
        <x:v>Соцсети</x:v>
      </x:c>
      <x:c r="E4" s="29" t="n">
        <x:v>1</x:v>
      </x:c>
      <x:c r="F4" s="8" t="n">
        <x:v>3600</x:v>
      </x:c>
      <x:c r="G4" s="8" t="n">
        <x:v>108</x:v>
      </x:c>
      <x:c r="H4" s="8" t="n">
        <x:v>1900</x:v>
      </x:c>
      <x:c r="I4" s="2" t="str">
        <x:v>оплачен</x:v>
      </x:c>
      <x:c r="J4" s="8" t="n">
        <x:f>IF(I4="оплачен",E4*F4-G4,0)</x:f>
        <x:v>3492</x:v>
      </x:c>
      <x:c r="K4" s="8"/>
      <x:c r="L4" s="8" t="n">
        <x:f>J4-K4</x:f>
        <x:v>3492</x:v>
      </x:c>
      <x:c r="M4" s="2" t="str">
        <x:f>TEXT(B4,"yyyy-mm")</x:f>
        <x:v>2026-07</x:v>
      </x:c>
      <x:c r="N4" s="2"/>
      <x:c r="O4" s="2"/>
      <x:c r="P4" s="2"/>
    </x:row>
    <x:row r="5" ht="26" customHeight="1">
      <x:c r="A5" s="2" t="str">
        <x:v>O004</x:v>
      </x:c>
      <x:c r="B5" s="7" t="d">
        <x:v>2026-07-04T00:00:00.000Z</x:v>
      </x:c>
      <x:c r="C5" s="2" t="str">
        <x:v>Рюкзак</x:v>
      </x:c>
      <x:c r="D5" s="2" t="str">
        <x:v>Маркетплейс</x:v>
      </x:c>
      <x:c r="E5" s="29" t="n">
        <x:v>3</x:v>
      </x:c>
      <x:c r="F5" s="8" t="n">
        <x:v>3600</x:v>
      </x:c>
      <x:c r="G5" s="8" t="n">
        <x:v>1296</x:v>
      </x:c>
      <x:c r="H5" s="8" t="n">
        <x:v>1900</x:v>
      </x:c>
      <x:c r="I5" s="2" t="str">
        <x:v>оплачен</x:v>
      </x:c>
      <x:c r="J5" s="8" t="n">
        <x:f>IF(I5="оплачен",E5*F5-G5,0)</x:f>
        <x:v>9504</x:v>
      </x:c>
      <x:c r="K5" s="8"/>
      <x:c r="L5" s="8" t="n">
        <x:f>J5-K5</x:f>
        <x:v>9504</x:v>
      </x:c>
      <x:c r="M5" s="2" t="str">
        <x:f>TEXT(B5,"yyyy-mm")</x:f>
        <x:v>2026-07</x:v>
      </x:c>
      <x:c r="N5" s="2"/>
      <x:c r="O5" s="2"/>
      <x:c r="P5" s="2"/>
    </x:row>
    <x:row r="6" ht="26" customHeight="1">
      <x:c r="A6" s="2" t="str">
        <x:v>O005</x:v>
      </x:c>
      <x:c r="B6" s="7" t="d">
        <x:v>2026-07-05T00:00:00.000Z</x:v>
      </x:c>
      <x:c r="C6" s="2" t="str">
        <x:v>Настольная лампа</x:v>
      </x:c>
      <x:c r="D6" s="2" t="str">
        <x:v>Соцсети</x:v>
      </x:c>
      <x:c r="E6" s="29" t="n">
        <x:v>1</x:v>
      </x:c>
      <x:c r="F6" s="8" t="n">
        <x:v>2900</x:v>
      </x:c>
      <x:c r="G6" s="8" t="n">
        <x:v>87</x:v>
      </x:c>
      <x:c r="H6" s="8" t="n">
        <x:v>1700</x:v>
      </x:c>
      <x:c r="I6" s="2" t="str">
        <x:v>оплачен</x:v>
      </x:c>
      <x:c r="J6" s="8" t="n">
        <x:f>IF(I6="оплачен",E6*F6-G6,0)</x:f>
        <x:v>2813</x:v>
      </x:c>
      <x:c r="K6" s="8"/>
      <x:c r="L6" s="8" t="n">
        <x:f>J6-K6</x:f>
        <x:v>2813</x:v>
      </x:c>
      <x:c r="M6" s="2" t="str">
        <x:f>TEXT(B6,"yyyy-mm")</x:f>
        <x:v>2026-07</x:v>
      </x:c>
      <x:c r="N6" s="2"/>
      <x:c r="O6" s="2"/>
      <x:c r="P6" s="2"/>
    </x:row>
    <x:row r="7" ht="26" customHeight="1">
      <x:c r="A7" s="2" t="str">
        <x:v>O006</x:v>
      </x:c>
      <x:c r="B7" s="7" t="d">
        <x:v>2026-07-06T00:00:00.000Z</x:v>
      </x:c>
      <x:c r="C7" s="2" t="str">
        <x:v>Рюкзак</x:v>
      </x:c>
      <x:c r="D7" s="2" t="str">
        <x:v>Маркетплейс</x:v>
      </x:c>
      <x:c r="E7" s="29" t="n">
        <x:v>4</x:v>
      </x:c>
      <x:c r="F7" s="8" t="n">
        <x:v>3600</x:v>
      </x:c>
      <x:c r="G7" s="8" t="n">
        <x:v>1728</x:v>
      </x:c>
      <x:c r="H7" s="8" t="n">
        <x:v>1900</x:v>
      </x:c>
      <x:c r="I7" s="2" t="str">
        <x:v>оплачен</x:v>
      </x:c>
      <x:c r="J7" s="8" t="n">
        <x:f>IF(I7="оплачен",E7*F7-G7,0)</x:f>
        <x:v>12672</x:v>
      </x:c>
      <x:c r="K7" s="8"/>
      <x:c r="L7" s="8" t="n">
        <x:f>J7-K7</x:f>
        <x:v>12672</x:v>
      </x:c>
      <x:c r="M7" s="2" t="str">
        <x:f>TEXT(B7,"yyyy-mm")</x:f>
        <x:v>2026-07</x:v>
      </x:c>
      <x:c r="N7" s="2"/>
      <x:c r="O7" s="2"/>
      <x:c r="P7" s="2"/>
    </x:row>
    <x:row r="8" ht="26" customHeight="1">
      <x:c r="A8" s="2" t="str">
        <x:v>O007</x:v>
      </x:c>
      <x:c r="B8" s="7" t="d">
        <x:v>2026-07-07T00:00:00.000Z</x:v>
      </x:c>
      <x:c r="C8" s="2" t="str">
        <x:v>Термокружка</x:v>
      </x:c>
      <x:c r="D8" s="2" t="str">
        <x:v>Маркетплейс</x:v>
      </x:c>
      <x:c r="E8" s="29" t="n">
        <x:v>1</x:v>
      </x:c>
      <x:c r="F8" s="8" t="n">
        <x:v>1600</x:v>
      </x:c>
      <x:c r="G8" s="8" t="n">
        <x:v>192</x:v>
      </x:c>
      <x:c r="H8" s="8" t="n">
        <x:v>650</x:v>
      </x:c>
      <x:c r="I8" s="2" t="str">
        <x:v>оплачен</x:v>
      </x:c>
      <x:c r="J8" s="8" t="n">
        <x:f>IF(I8="оплачен",E8*F8-G8,0)</x:f>
        <x:v>1408</x:v>
      </x:c>
      <x:c r="K8" s="8"/>
      <x:c r="L8" s="8" t="n">
        <x:f>J8-K8</x:f>
        <x:v>1408</x:v>
      </x:c>
      <x:c r="M8" s="2" t="str">
        <x:f>TEXT(B8,"yyyy-mm")</x:f>
        <x:v>2026-07</x:v>
      </x:c>
      <x:c r="N8" s="2"/>
      <x:c r="O8" s="2"/>
      <x:c r="P8" s="2"/>
    </x:row>
    <x:row r="9" ht="26" customHeight="1">
      <x:c r="A9" s="2" t="str">
        <x:v>O008</x:v>
      </x:c>
      <x:c r="B9" s="7" t="d">
        <x:v>2026-07-08T00:00:00.000Z</x:v>
      </x:c>
      <x:c r="C9" s="2" t="str">
        <x:v>Термокружка</x:v>
      </x:c>
      <x:c r="D9" s="2" t="str">
        <x:v>Маркетплейс</x:v>
      </x:c>
      <x:c r="E9" s="29" t="n">
        <x:v>4</x:v>
      </x:c>
      <x:c r="F9" s="8" t="n">
        <x:v>1600</x:v>
      </x:c>
      <x:c r="G9" s="8" t="n">
        <x:v>768</x:v>
      </x:c>
      <x:c r="H9" s="8" t="n">
        <x:v>650</x:v>
      </x:c>
      <x:c r="I9" s="2" t="str">
        <x:v>оплачен</x:v>
      </x:c>
      <x:c r="J9" s="8" t="n">
        <x:f>IF(I9="оплачен",E9*F9-G9,0)</x:f>
        <x:v>5632</x:v>
      </x:c>
      <x:c r="K9" s="8"/>
      <x:c r="L9" s="8" t="n">
        <x:f>J9-K9</x:f>
        <x:v>5632</x:v>
      </x:c>
      <x:c r="M9" s="2" t="str">
        <x:f>TEXT(B9,"yyyy-mm")</x:f>
        <x:v>2026-07</x:v>
      </x:c>
      <x:c r="N9" s="2"/>
      <x:c r="O9" s="2"/>
      <x:c r="P9" s="2"/>
    </x:row>
    <x:row r="10" ht="26" customHeight="1">
      <x:c r="A10" s="2" t="str">
        <x:v>O009</x:v>
      </x:c>
      <x:c r="B10" s="7" t="d">
        <x:v>2026-07-09T00:00:00.000Z</x:v>
      </x:c>
      <x:c r="C10" s="2" t="str">
        <x:v>Планер</x:v>
      </x:c>
      <x:c r="D10" s="2" t="str">
        <x:v>Маркетплейс</x:v>
      </x:c>
      <x:c r="E10" s="29" t="n">
        <x:v>4</x:v>
      </x:c>
      <x:c r="F10" s="8" t="n">
        <x:v>800</x:v>
      </x:c>
      <x:c r="G10" s="8" t="n">
        <x:v>384</x:v>
      </x:c>
      <x:c r="H10" s="8" t="n">
        <x:v>280</x:v>
      </x:c>
      <x:c r="I10" s="2" t="str">
        <x:v>оплачен</x:v>
      </x:c>
      <x:c r="J10" s="8" t="n">
        <x:f>IF(I10="оплачен",E10*F10-G10,0)</x:f>
        <x:v>2816</x:v>
      </x:c>
      <x:c r="K10" s="8"/>
      <x:c r="L10" s="8" t="n">
        <x:f>J10-K10</x:f>
        <x:v>2816</x:v>
      </x:c>
      <x:c r="M10" s="2" t="str">
        <x:f>TEXT(B10,"yyyy-mm")</x:f>
        <x:v>2026-07</x:v>
      </x:c>
      <x:c r="N10" s="2"/>
      <x:c r="O10" s="2"/>
      <x:c r="P10" s="2"/>
    </x:row>
    <x:row r="11" ht="26" customHeight="1">
      <x:c r="A11" s="2" t="str">
        <x:v>O010</x:v>
      </x:c>
      <x:c r="B11" s="7" t="d">
        <x:v>2026-07-10T00:00:00.000Z</x:v>
      </x:c>
      <x:c r="C11" s="2" t="str">
        <x:v>Термокружка</x:v>
      </x:c>
      <x:c r="D11" s="2" t="str">
        <x:v>Сайт</x:v>
      </x:c>
      <x:c r="E11" s="29" t="n">
        <x:v>4</x:v>
      </x:c>
      <x:c r="F11" s="8" t="n">
        <x:v>1600</x:v>
      </x:c>
      <x:c r="G11" s="8" t="n">
        <x:v>192</x:v>
      </x:c>
      <x:c r="H11" s="8" t="n">
        <x:v>650</x:v>
      </x:c>
      <x:c r="I11" s="2" t="str">
        <x:v>оплачен</x:v>
      </x:c>
      <x:c r="J11" s="8" t="n">
        <x:f>IF(I11="оплачен",E11*F11-G11,0)</x:f>
        <x:v>6208</x:v>
      </x:c>
      <x:c r="K11" s="8"/>
      <x:c r="L11" s="8" t="n">
        <x:f>J11-K11</x:f>
        <x:v>6208</x:v>
      </x:c>
      <x:c r="M11" s="2" t="str">
        <x:f>TEXT(B11,"yyyy-mm")</x:f>
        <x:v>2026-07</x:v>
      </x:c>
      <x:c r="N11" s="2"/>
      <x:c r="O11" s="2"/>
      <x:c r="P11" s="2"/>
    </x:row>
    <x:row r="12" ht="26" customHeight="1">
      <x:c r="A12" s="2" t="str">
        <x:v>O011</x:v>
      </x:c>
      <x:c r="B12" s="7" t="d">
        <x:v>2026-07-11T00:00:00.000Z</x:v>
      </x:c>
      <x:c r="C12" s="2" t="str">
        <x:v>Настольная лампа</x:v>
      </x:c>
      <x:c r="D12" s="2" t="str">
        <x:v>Соцсети</x:v>
      </x:c>
      <x:c r="E12" s="29" t="n">
        <x:v>1</x:v>
      </x:c>
      <x:c r="F12" s="8" t="n">
        <x:v>2900</x:v>
      </x:c>
      <x:c r="G12" s="8" t="n">
        <x:v>87</x:v>
      </x:c>
      <x:c r="H12" s="8" t="n">
        <x:v>1700</x:v>
      </x:c>
      <x:c r="I12" s="2" t="str">
        <x:v>оплачен</x:v>
      </x:c>
      <x:c r="J12" s="8" t="n">
        <x:f>IF(I12="оплачен",E12*F12-G12,0)</x:f>
        <x:v>2813</x:v>
      </x:c>
      <x:c r="K12" s="8"/>
      <x:c r="L12" s="8" t="n">
        <x:f>J12-K12</x:f>
        <x:v>2813</x:v>
      </x:c>
      <x:c r="M12" s="2" t="str">
        <x:f>TEXT(B12,"yyyy-mm")</x:f>
        <x:v>2026-07</x:v>
      </x:c>
      <x:c r="N12" s="2"/>
      <x:c r="O12" s="2"/>
      <x:c r="P12" s="2"/>
    </x:row>
    <x:row r="13" ht="26" customHeight="1">
      <x:c r="A13" s="2" t="str">
        <x:v>O012</x:v>
      </x:c>
      <x:c r="B13" s="7" t="d">
        <x:v>2026-07-12T00:00:00.000Z</x:v>
      </x:c>
      <x:c r="C13" s="2" t="str">
        <x:v>Планер</x:v>
      </x:c>
      <x:c r="D13" s="2" t="str">
        <x:v>Соцсети</x:v>
      </x:c>
      <x:c r="E13" s="29" t="n">
        <x:v>2</x:v>
      </x:c>
      <x:c r="F13" s="8" t="n">
        <x:v>800</x:v>
      </x:c>
      <x:c r="G13" s="8" t="n">
        <x:v>48</x:v>
      </x:c>
      <x:c r="H13" s="8" t="n">
        <x:v>280</x:v>
      </x:c>
      <x:c r="I13" s="2" t="str">
        <x:v>оплачен</x:v>
      </x:c>
      <x:c r="J13" s="8" t="n">
        <x:f>IF(I13="оплачен",E13*F13-G13,0)</x:f>
        <x:v>1552</x:v>
      </x:c>
      <x:c r="K13" s="8"/>
      <x:c r="L13" s="8" t="n">
        <x:f>J13-K13</x:f>
        <x:v>1552</x:v>
      </x:c>
      <x:c r="M13" s="2" t="str">
        <x:f>TEXT(B13,"yyyy-mm")</x:f>
        <x:v>2026-07</x:v>
      </x:c>
      <x:c r="N13" s="2"/>
      <x:c r="O13" s="2"/>
      <x:c r="P13" s="2"/>
    </x:row>
    <x:row r="14" ht="26" customHeight="1">
      <x:c r="A14" s="2" t="str">
        <x:v>O013</x:v>
      </x:c>
      <x:c r="B14" s="7" t="d">
        <x:v>2026-07-13T00:00:00.000Z</x:v>
      </x:c>
      <x:c r="C14" s="2" t="str">
        <x:v>Планер</x:v>
      </x:c>
      <x:c r="D14" s="2" t="str">
        <x:v>Маркетплейс</x:v>
      </x:c>
      <x:c r="E14" s="29" t="n">
        <x:v>1</x:v>
      </x:c>
      <x:c r="F14" s="8" t="n">
        <x:v>800</x:v>
      </x:c>
      <x:c r="G14" s="8" t="n">
        <x:v>96</x:v>
      </x:c>
      <x:c r="H14" s="8" t="n">
        <x:v>280</x:v>
      </x:c>
      <x:c r="I14" s="2" t="str">
        <x:v>оплачен</x:v>
      </x:c>
      <x:c r="J14" s="8" t="n">
        <x:f>IF(I14="оплачен",E14*F14-G14,0)</x:f>
        <x:v>704</x:v>
      </x:c>
      <x:c r="K14" s="8"/>
      <x:c r="L14" s="8" t="n">
        <x:f>J14-K14</x:f>
        <x:v>704</x:v>
      </x:c>
      <x:c r="M14" s="2" t="str">
        <x:f>TEXT(B14,"yyyy-mm")</x:f>
        <x:v>2026-07</x:v>
      </x:c>
      <x:c r="N14" s="2"/>
      <x:c r="O14" s="2"/>
      <x:c r="P14" s="2"/>
    </x:row>
    <x:row r="15" ht="26" customHeight="1">
      <x:c r="A15" s="2" t="str">
        <x:v>O014</x:v>
      </x:c>
      <x:c r="B15" s="7" t="d">
        <x:v>2026-07-14T00:00:00.000Z</x:v>
      </x:c>
      <x:c r="C15" s="2" t="str">
        <x:v>Термокружка</x:v>
      </x:c>
      <x:c r="D15" s="2" t="str">
        <x:v>Маркетплейс</x:v>
      </x:c>
      <x:c r="E15" s="29" t="n">
        <x:v>1</x:v>
      </x:c>
      <x:c r="F15" s="8" t="n">
        <x:v>1600</x:v>
      </x:c>
      <x:c r="G15" s="8" t="n">
        <x:v>192</x:v>
      </x:c>
      <x:c r="H15" s="8" t="n">
        <x:v>650</x:v>
      </x:c>
      <x:c r="I15" s="2" t="str">
        <x:v>отменён</x:v>
      </x:c>
      <x:c r="J15" s="8" t="n">
        <x:f>IF(I15="оплачен",E15*F15-G15,0)</x:f>
        <x:v>0</x:v>
      </x:c>
      <x:c r="K15" s="8"/>
      <x:c r="L15" s="8" t="n">
        <x:f>J15-K15</x:f>
        <x:v>0</x:v>
      </x:c>
      <x:c r="M15" s="2" t="str">
        <x:f>TEXT(B15,"yyyy-mm")</x:f>
        <x:v>2026-07</x:v>
      </x:c>
      <x:c r="N15" s="2"/>
      <x:c r="O15" s="2"/>
      <x:c r="P15" s="2"/>
    </x:row>
    <x:row r="16" ht="26" customHeight="1">
      <x:c r="A16" s="2" t="str">
        <x:v>O015</x:v>
      </x:c>
      <x:c r="B16" s="7" t="d">
        <x:v>2026-07-15T00:00:00.000Z</x:v>
      </x:c>
      <x:c r="C16" s="2" t="str">
        <x:v>Настольная лампа</x:v>
      </x:c>
      <x:c r="D16" s="2" t="str">
        <x:v>Соцсети</x:v>
      </x:c>
      <x:c r="E16" s="29" t="n">
        <x:v>4</x:v>
      </x:c>
      <x:c r="F16" s="8" t="n">
        <x:v>2900</x:v>
      </x:c>
      <x:c r="G16" s="8" t="n">
        <x:v>348</x:v>
      </x:c>
      <x:c r="H16" s="8" t="n">
        <x:v>1700</x:v>
      </x:c>
      <x:c r="I16" s="2" t="str">
        <x:v>оплачен</x:v>
      </x:c>
      <x:c r="J16" s="8" t="n">
        <x:f>IF(I16="оплачен",E16*F16-G16,0)</x:f>
        <x:v>11252</x:v>
      </x:c>
      <x:c r="K16" s="8"/>
      <x:c r="L16" s="8" t="n">
        <x:f>J16-K16</x:f>
        <x:v>11252</x:v>
      </x:c>
      <x:c r="M16" s="2" t="str">
        <x:f>TEXT(B16,"yyyy-mm")</x:f>
        <x:v>2026-07</x:v>
      </x:c>
      <x:c r="N16" s="2"/>
      <x:c r="O16" s="2"/>
      <x:c r="P16" s="2"/>
    </x:row>
    <x:row r="17" ht="26" customHeight="1">
      <x:c r="A17" s="2" t="str">
        <x:v>O016</x:v>
      </x:c>
      <x:c r="B17" s="7" t="d">
        <x:v>2026-07-16T00:00:00.000Z</x:v>
      </x:c>
      <x:c r="C17" s="2" t="str">
        <x:v>Планер</x:v>
      </x:c>
      <x:c r="D17" s="2" t="str">
        <x:v>Соцсети</x:v>
      </x:c>
      <x:c r="E17" s="29" t="n">
        <x:v>1</x:v>
      </x:c>
      <x:c r="F17" s="8" t="n">
        <x:v>800</x:v>
      </x:c>
      <x:c r="G17" s="8" t="n">
        <x:v>24</x:v>
      </x:c>
      <x:c r="H17" s="8" t="n">
        <x:v>280</x:v>
      </x:c>
      <x:c r="I17" s="2" t="str">
        <x:v>оплачен</x:v>
      </x:c>
      <x:c r="J17" s="8" t="n">
        <x:f>IF(I17="оплачен",E17*F17-G17,0)</x:f>
        <x:v>776</x:v>
      </x:c>
      <x:c r="K17" s="8"/>
      <x:c r="L17" s="8" t="n">
        <x:f>J17-K17</x:f>
        <x:v>776</x:v>
      </x:c>
      <x:c r="M17" s="2" t="str">
        <x:f>TEXT(B17,"yyyy-mm")</x:f>
        <x:v>2026-07</x:v>
      </x:c>
      <x:c r="N17" s="2"/>
      <x:c r="O17" s="2"/>
      <x:c r="P17" s="2"/>
    </x:row>
    <x:row r="18" ht="26" customHeight="1">
      <x:c r="A18" s="2" t="str">
        <x:v>O017</x:v>
      </x:c>
      <x:c r="B18" s="7" t="d">
        <x:v>2026-07-17T00:00:00.000Z</x:v>
      </x:c>
      <x:c r="C18" s="2" t="str">
        <x:v>Термокружка</x:v>
      </x:c>
      <x:c r="D18" s="2" t="str">
        <x:v>Маркетплейс</x:v>
      </x:c>
      <x:c r="E18" s="29" t="n">
        <x:v>3</x:v>
      </x:c>
      <x:c r="F18" s="8" t="n">
        <x:v>1600</x:v>
      </x:c>
      <x:c r="G18" s="8" t="n">
        <x:v>576</x:v>
      </x:c>
      <x:c r="H18" s="8" t="n">
        <x:v>650</x:v>
      </x:c>
      <x:c r="I18" s="2" t="str">
        <x:v>оплачен</x:v>
      </x:c>
      <x:c r="J18" s="8" t="n">
        <x:f>IF(I18="оплачен",E18*F18-G18,0)</x:f>
        <x:v>4224</x:v>
      </x:c>
      <x:c r="K18" s="8"/>
      <x:c r="L18" s="8" t="n">
        <x:f>J18-K18</x:f>
        <x:v>4224</x:v>
      </x:c>
      <x:c r="M18" s="2" t="str">
        <x:f>TEXT(B18,"yyyy-mm")</x:f>
        <x:v>2026-07</x:v>
      </x:c>
      <x:c r="N18" s="2"/>
      <x:c r="O18" s="2"/>
      <x:c r="P18" s="2"/>
    </x:row>
    <x:row r="19" ht="26" customHeight="1">
      <x:c r="A19" s="2" t="str">
        <x:v>O018</x:v>
      </x:c>
      <x:c r="B19" s="7" t="d">
        <x:v>2026-07-18T00:00:00.000Z</x:v>
      </x:c>
      <x:c r="C19" s="2" t="str">
        <x:v>Настольная лампа</x:v>
      </x:c>
      <x:c r="D19" s="2" t="str">
        <x:v>Сайт</x:v>
      </x:c>
      <x:c r="E19" s="29" t="n">
        <x:v>3</x:v>
      </x:c>
      <x:c r="F19" s="8" t="n">
        <x:v>2900</x:v>
      </x:c>
      <x:c r="G19" s="8" t="n">
        <x:v>261</x:v>
      </x:c>
      <x:c r="H19" s="8" t="n">
        <x:v>1700</x:v>
      </x:c>
      <x:c r="I19" s="2" t="str">
        <x:v>возвращён</x:v>
      </x:c>
      <x:c r="J19" s="8" t="n">
        <x:f>IF(I19="оплачен",E19*F19-G19,0)</x:f>
        <x:v>0</x:v>
      </x:c>
      <x:c r="K19" s="8"/>
      <x:c r="L19" s="8" t="n">
        <x:f>J19-K19</x:f>
        <x:v>0</x:v>
      </x:c>
      <x:c r="M19" s="2" t="str">
        <x:f>TEXT(B19,"yyyy-mm")</x:f>
        <x:v>2026-07</x:v>
      </x:c>
      <x:c r="N19" s="2"/>
      <x:c r="O19" s="2"/>
      <x:c r="P19" s="2"/>
    </x:row>
    <x:row r="20" ht="26" customHeight="1">
      <x:c r="A20" s="2" t="str">
        <x:v>O019</x:v>
      </x:c>
      <x:c r="B20" s="7" t="d">
        <x:v>2026-07-19T00:00:00.000Z</x:v>
      </x:c>
      <x:c r="C20" s="2" t="str">
        <x:v>Рюкзак</x:v>
      </x:c>
      <x:c r="D20" s="2" t="str">
        <x:v>Сайт</x:v>
      </x:c>
      <x:c r="E20" s="29" t="n">
        <x:v>3</x:v>
      </x:c>
      <x:c r="F20" s="8" t="n">
        <x:v>3600</x:v>
      </x:c>
      <x:c r="G20" s="8" t="n">
        <x:v>324</x:v>
      </x:c>
      <x:c r="H20" s="8" t="n">
        <x:v>1900</x:v>
      </x:c>
      <x:c r="I20" s="2" t="str">
        <x:v>оплачен</x:v>
      </x:c>
      <x:c r="J20" s="8" t="n">
        <x:f>IF(I20="оплачен",E20*F20-G20,0)</x:f>
        <x:v>10476</x:v>
      </x:c>
      <x:c r="K20" s="8"/>
      <x:c r="L20" s="8" t="n">
        <x:f>J20-K20</x:f>
        <x:v>10476</x:v>
      </x:c>
      <x:c r="M20" s="2" t="str">
        <x:f>TEXT(B20,"yyyy-mm")</x:f>
        <x:v>2026-07</x:v>
      </x:c>
      <x:c r="N20" s="2"/>
      <x:c r="O20" s="2"/>
      <x:c r="P20" s="2"/>
    </x:row>
    <x:row r="21" ht="26" customHeight="1">
      <x:c r="A21" s="2" t="str">
        <x:v>O020</x:v>
      </x:c>
      <x:c r="B21" s="7" t="d">
        <x:v>2026-07-20T00:00:00.000Z</x:v>
      </x:c>
      <x:c r="C21" s="2" t="str">
        <x:v>Термокружка</x:v>
      </x:c>
      <x:c r="D21" s="2" t="str">
        <x:v>Маркетплейс</x:v>
      </x:c>
      <x:c r="E21" s="29" t="n">
        <x:v>2</x:v>
      </x:c>
      <x:c r="F21" s="8" t="n">
        <x:v>1600</x:v>
      </x:c>
      <x:c r="G21" s="8" t="n">
        <x:v>384</x:v>
      </x:c>
      <x:c r="H21" s="8" t="n">
        <x:v>650</x:v>
      </x:c>
      <x:c r="I21" s="2" t="str">
        <x:v>оплачен</x:v>
      </x:c>
      <x:c r="J21" s="8" t="n">
        <x:f>IF(I21="оплачен",E21*F21-G21,0)</x:f>
        <x:v>2816</x:v>
      </x:c>
      <x:c r="K21" s="8"/>
      <x:c r="L21" s="8" t="n">
        <x:f>J21-K21</x:f>
        <x:v>2816</x:v>
      </x:c>
      <x:c r="M21" s="2" t="str">
        <x:f>TEXT(B21,"yyyy-mm")</x:f>
        <x:v>2026-07</x:v>
      </x:c>
      <x:c r="N21" s="2"/>
      <x:c r="O21" s="2"/>
      <x:c r="P21" s="2"/>
    </x:row>
    <x:row r="22" ht="26" customHeight="1">
      <x:c r="A22" s="2" t="str">
        <x:v>O021</x:v>
      </x:c>
      <x:c r="B22" s="7" t="d">
        <x:v>2026-07-21T00:00:00.000Z</x:v>
      </x:c>
      <x:c r="C22" s="2" t="str">
        <x:v>Термокружка</x:v>
      </x:c>
      <x:c r="D22" s="2" t="str">
        <x:v>Маркетплейс</x:v>
      </x:c>
      <x:c r="E22" s="29" t="n">
        <x:v>1</x:v>
      </x:c>
      <x:c r="F22" s="8" t="n">
        <x:v>1600</x:v>
      </x:c>
      <x:c r="G22" s="8" t="n">
        <x:v>192</x:v>
      </x:c>
      <x:c r="H22" s="8" t="n">
        <x:v>650</x:v>
      </x:c>
      <x:c r="I22" s="2" t="str">
        <x:v>оплачен</x:v>
      </x:c>
      <x:c r="J22" s="8" t="n">
        <x:f>IF(I22="оплачен",E22*F22-G22,0)</x:f>
        <x:v>1408</x:v>
      </x:c>
      <x:c r="K22" s="8"/>
      <x:c r="L22" s="8" t="n">
        <x:f>J22-K22</x:f>
        <x:v>1408</x:v>
      </x:c>
      <x:c r="M22" s="2" t="str">
        <x:f>TEXT(B22,"yyyy-mm")</x:f>
        <x:v>2026-07</x:v>
      </x:c>
      <x:c r="N22" s="2"/>
      <x:c r="O22" s="2"/>
      <x:c r="P22" s="2"/>
    </x:row>
    <x:row r="23" ht="26" customHeight="1">
      <x:c r="A23" s="2" t="str">
        <x:v>O022</x:v>
      </x:c>
      <x:c r="B23" s="7" t="d">
        <x:v>2026-07-22T00:00:00.000Z</x:v>
      </x:c>
      <x:c r="C23" s="2" t="str">
        <x:v>Настольная лампа</x:v>
      </x:c>
      <x:c r="D23" s="2" t="str">
        <x:v>Соцсети</x:v>
      </x:c>
      <x:c r="E23" s="29" t="n">
        <x:v>4</x:v>
      </x:c>
      <x:c r="F23" s="8" t="n">
        <x:v>2900</x:v>
      </x:c>
      <x:c r="G23" s="8" t="n">
        <x:v>348</x:v>
      </x:c>
      <x:c r="H23" s="8" t="n">
        <x:v>1700</x:v>
      </x:c>
      <x:c r="I23" s="2" t="str">
        <x:v>оплачен</x:v>
      </x:c>
      <x:c r="J23" s="8" t="n">
        <x:f>IF(I23="оплачен",E23*F23-G23,0)</x:f>
        <x:v>11252</x:v>
      </x:c>
      <x:c r="K23" s="8"/>
      <x:c r="L23" s="8" t="n">
        <x:f>J23-K23</x:f>
        <x:v>11252</x:v>
      </x:c>
      <x:c r="M23" s="2" t="str">
        <x:f>TEXT(B23,"yyyy-mm")</x:f>
        <x:v>2026-07</x:v>
      </x:c>
      <x:c r="N23" s="2"/>
      <x:c r="O23" s="2"/>
      <x:c r="P23" s="2"/>
    </x:row>
    <x:row r="24" ht="26" customHeight="1">
      <x:c r="A24" s="2" t="str">
        <x:v>O023</x:v>
      </x:c>
      <x:c r="B24" s="7" t="d">
        <x:v>2026-07-23T00:00:00.000Z</x:v>
      </x:c>
      <x:c r="C24" s="2" t="str">
        <x:v>Настольная лампа</x:v>
      </x:c>
      <x:c r="D24" s="2" t="str">
        <x:v>Маркетплейс</x:v>
      </x:c>
      <x:c r="E24" s="29" t="n">
        <x:v>3</x:v>
      </x:c>
      <x:c r="F24" s="8" t="n">
        <x:v>2900</x:v>
      </x:c>
      <x:c r="G24" s="8" t="n">
        <x:v>1044</x:v>
      </x:c>
      <x:c r="H24" s="8" t="n">
        <x:v>1700</x:v>
      </x:c>
      <x:c r="I24" s="2" t="str">
        <x:v>оплачен</x:v>
      </x:c>
      <x:c r="J24" s="8" t="n">
        <x:f>IF(I24="оплачен",E24*F24-G24,0)</x:f>
        <x:v>7656</x:v>
      </x:c>
      <x:c r="K24" s="8"/>
      <x:c r="L24" s="8" t="n">
        <x:f>J24-K24</x:f>
        <x:v>7656</x:v>
      </x:c>
      <x:c r="M24" s="2" t="str">
        <x:f>TEXT(B24,"yyyy-mm")</x:f>
        <x:v>2026-07</x:v>
      </x:c>
      <x:c r="N24" s="2"/>
      <x:c r="O24" s="2"/>
      <x:c r="P24" s="2"/>
    </x:row>
    <x:row r="25" ht="26" customHeight="1">
      <x:c r="A25" s="2" t="str">
        <x:v>O024</x:v>
      </x:c>
      <x:c r="B25" s="7" t="d">
        <x:v>2026-07-24T00:00:00.000Z</x:v>
      </x:c>
      <x:c r="C25" s="2" t="str">
        <x:v>Термокружка</x:v>
      </x:c>
      <x:c r="D25" s="2" t="str">
        <x:v>Соцсети</x:v>
      </x:c>
      <x:c r="E25" s="29" t="n">
        <x:v>4</x:v>
      </x:c>
      <x:c r="F25" s="8" t="n">
        <x:v>1600</x:v>
      </x:c>
      <x:c r="G25" s="8" t="n">
        <x:v>192</x:v>
      </x:c>
      <x:c r="H25" s="8" t="n">
        <x:v>650</x:v>
      </x:c>
      <x:c r="I25" s="2" t="str">
        <x:v>оплачен</x:v>
      </x:c>
      <x:c r="J25" s="8" t="n">
        <x:f>IF(I25="оплачен",E25*F25-G25,0)</x:f>
        <x:v>6208</x:v>
      </x:c>
      <x:c r="K25" s="8"/>
      <x:c r="L25" s="8" t="n">
        <x:f>J25-K25</x:f>
        <x:v>6208</x:v>
      </x:c>
      <x:c r="M25" s="2" t="str">
        <x:f>TEXT(B25,"yyyy-mm")</x:f>
        <x:v>2026-07</x:v>
      </x:c>
      <x:c r="N25" s="2"/>
      <x:c r="O25" s="2"/>
      <x:c r="P25" s="2"/>
    </x:row>
    <x:row r="26" ht="26" customHeight="1">
      <x:c r="A26" s="2" t="str">
        <x:v>O025</x:v>
      </x:c>
      <x:c r="B26" s="7" t="d">
        <x:v>2026-07-25T00:00:00.000Z</x:v>
      </x:c>
      <x:c r="C26" s="2" t="str">
        <x:v>Планер</x:v>
      </x:c>
      <x:c r="D26" s="2" t="str">
        <x:v>Соцсети</x:v>
      </x:c>
      <x:c r="E26" s="29" t="n">
        <x:v>2</x:v>
      </x:c>
      <x:c r="F26" s="8" t="n">
        <x:v>800</x:v>
      </x:c>
      <x:c r="G26" s="8" t="n">
        <x:v>48</x:v>
      </x:c>
      <x:c r="H26" s="8" t="n">
        <x:v>280</x:v>
      </x:c>
      <x:c r="I26" s="2" t="str">
        <x:v>оплачен</x:v>
      </x:c>
      <x:c r="J26" s="8" t="n">
        <x:f>IF(I26="оплачен",E26*F26-G26,0)</x:f>
        <x:v>1552</x:v>
      </x:c>
      <x:c r="K26" s="8"/>
      <x:c r="L26" s="8" t="n">
        <x:f>J26-K26</x:f>
        <x:v>1552</x:v>
      </x:c>
      <x:c r="M26" s="2" t="str">
        <x:f>TEXT(B26,"yyyy-mm")</x:f>
        <x:v>2026-07</x:v>
      </x:c>
      <x:c r="N26" s="2"/>
      <x:c r="O26" s="2"/>
      <x:c r="P26" s="2"/>
    </x:row>
    <x:row r="27" ht="26" customHeight="1">
      <x:c r="A27" s="2" t="str">
        <x:v>O026</x:v>
      </x:c>
      <x:c r="B27" s="7" t="d">
        <x:v>2026-07-26T00:00:00.000Z</x:v>
      </x:c>
      <x:c r="C27" s="2" t="str">
        <x:v>Термокружка</x:v>
      </x:c>
      <x:c r="D27" s="2" t="str">
        <x:v>Маркетплейс</x:v>
      </x:c>
      <x:c r="E27" s="29" t="n">
        <x:v>2</x:v>
      </x:c>
      <x:c r="F27" s="8" t="n">
        <x:v>1600</x:v>
      </x:c>
      <x:c r="G27" s="8" t="n">
        <x:v>384</x:v>
      </x:c>
      <x:c r="H27" s="8" t="n">
        <x:v>650</x:v>
      </x:c>
      <x:c r="I27" s="2" t="str">
        <x:v>оплачен</x:v>
      </x:c>
      <x:c r="J27" s="8" t="n">
        <x:f>IF(I27="оплачен",E27*F27-G27,0)</x:f>
        <x:v>2816</x:v>
      </x:c>
      <x:c r="K27" s="8"/>
      <x:c r="L27" s="8" t="n">
        <x:f>J27-K27</x:f>
        <x:v>2816</x:v>
      </x:c>
      <x:c r="M27" s="2" t="str">
        <x:f>TEXT(B27,"yyyy-mm")</x:f>
        <x:v>2026-07</x:v>
      </x:c>
      <x:c r="N27" s="2"/>
      <x:c r="O27" s="2"/>
      <x:c r="P27" s="2"/>
    </x:row>
    <x:row r="28" ht="26" customHeight="1">
      <x:c r="A28" s="2" t="str">
        <x:v>O027</x:v>
      </x:c>
      <x:c r="B28" s="7" t="d">
        <x:v>2026-07-27T00:00:00.000Z</x:v>
      </x:c>
      <x:c r="C28" s="2" t="str">
        <x:v>Настольная лампа</x:v>
      </x:c>
      <x:c r="D28" s="2" t="str">
        <x:v>Соцсети</x:v>
      </x:c>
      <x:c r="E28" s="29" t="n">
        <x:v>1</x:v>
      </x:c>
      <x:c r="F28" s="8" t="n">
        <x:v>2900</x:v>
      </x:c>
      <x:c r="G28" s="8" t="n">
        <x:v>87</x:v>
      </x:c>
      <x:c r="H28" s="8" t="n">
        <x:v>1700</x:v>
      </x:c>
      <x:c r="I28" s="2" t="str">
        <x:v>отменён</x:v>
      </x:c>
      <x:c r="J28" s="8" t="n">
        <x:f>IF(I28="оплачен",E28*F28-G28,0)</x:f>
        <x:v>0</x:v>
      </x:c>
      <x:c r="K28" s="8"/>
      <x:c r="L28" s="8" t="n">
        <x:f>J28-K28</x:f>
        <x:v>0</x:v>
      </x:c>
      <x:c r="M28" s="2" t="str">
        <x:f>TEXT(B28,"yyyy-mm")</x:f>
        <x:v>2026-07</x:v>
      </x:c>
      <x:c r="N28" s="2"/>
      <x:c r="O28" s="2"/>
      <x:c r="P28" s="2"/>
    </x:row>
    <x:row r="29" ht="26" customHeight="1">
      <x:c r="A29" s="2" t="str">
        <x:v>O028</x:v>
      </x:c>
      <x:c r="B29" s="7" t="d">
        <x:v>2026-07-28T00:00:00.000Z</x:v>
      </x:c>
      <x:c r="C29" s="2" t="str">
        <x:v>Термокружка</x:v>
      </x:c>
      <x:c r="D29" s="2" t="str">
        <x:v>Соцсети</x:v>
      </x:c>
      <x:c r="E29" s="29" t="n">
        <x:v>1</x:v>
      </x:c>
      <x:c r="F29" s="8" t="n">
        <x:v>1600</x:v>
      </x:c>
      <x:c r="G29" s="8" t="n">
        <x:v>48</x:v>
      </x:c>
      <x:c r="H29" s="8" t="n">
        <x:v>650</x:v>
      </x:c>
      <x:c r="I29" s="2" t="str">
        <x:v>оплачен</x:v>
      </x:c>
      <x:c r="J29" s="8" t="n">
        <x:f>IF(I29="оплачен",E29*F29-G29,0)</x:f>
        <x:v>1552</x:v>
      </x:c>
      <x:c r="K29" s="8"/>
      <x:c r="L29" s="8" t="n">
        <x:f>J29-K29</x:f>
        <x:v>1552</x:v>
      </x:c>
      <x:c r="M29" s="2" t="str">
        <x:f>TEXT(B29,"yyyy-mm")</x:f>
        <x:v>2026-07</x:v>
      </x:c>
      <x:c r="N29" s="2"/>
      <x:c r="O29" s="2"/>
      <x:c r="P29" s="2"/>
    </x:row>
    <x:row r="30" ht="26" customHeight="1">
      <x:c r="A30" s="2" t="str">
        <x:v>O029</x:v>
      </x:c>
      <x:c r="B30" s="7" t="d">
        <x:v>2026-07-01T00:00:00.000Z</x:v>
      </x:c>
      <x:c r="C30" s="2" t="str">
        <x:v>Рюкзак</x:v>
      </x:c>
      <x:c r="D30" s="2" t="str">
        <x:v>Соцсети</x:v>
      </x:c>
      <x:c r="E30" s="29" t="n">
        <x:v>1</x:v>
      </x:c>
      <x:c r="F30" s="8" t="n">
        <x:v>3600</x:v>
      </x:c>
      <x:c r="G30" s="8" t="n">
        <x:v>108</x:v>
      </x:c>
      <x:c r="H30" s="8" t="n">
        <x:v>1900</x:v>
      </x:c>
      <x:c r="I30" s="2" t="str">
        <x:v>оплачен</x:v>
      </x:c>
      <x:c r="J30" s="8" t="n">
        <x:f>IF(I30="оплачен",E30*F30-G30,0)</x:f>
        <x:v>3492</x:v>
      </x:c>
      <x:c r="K30" s="8"/>
      <x:c r="L30" s="8" t="n">
        <x:f>J30-K30</x:f>
        <x:v>3492</x:v>
      </x:c>
      <x:c r="M30" s="2" t="str">
        <x:f>TEXT(B30,"yyyy-mm")</x:f>
        <x:v>2026-07</x:v>
      </x:c>
      <x:c r="N30" s="2"/>
      <x:c r="O30" s="2"/>
      <x:c r="P30" s="2"/>
    </x:row>
    <x:row r="31" ht="26" customHeight="1">
      <x:c r="A31" s="2" t="str">
        <x:v>O030</x:v>
      </x:c>
      <x:c r="B31" s="7" t="d">
        <x:v>2026-07-02T00:00:00.000Z</x:v>
      </x:c>
      <x:c r="C31" s="2" t="str">
        <x:v>Настольная лампа</x:v>
      </x:c>
      <x:c r="D31" s="2" t="str">
        <x:v>Маркетплейс</x:v>
      </x:c>
      <x:c r="E31" s="29" t="n">
        <x:v>2</x:v>
      </x:c>
      <x:c r="F31" s="8" t="n">
        <x:v>2900</x:v>
      </x:c>
      <x:c r="G31" s="8" t="n">
        <x:v>696</x:v>
      </x:c>
      <x:c r="H31" s="8" t="n">
        <x:v>1700</x:v>
      </x:c>
      <x:c r="I31" s="2" t="str">
        <x:v>оплачен</x:v>
      </x:c>
      <x:c r="J31" s="8" t="n">
        <x:f>IF(I31="оплачен",E31*F31-G31,0)</x:f>
        <x:v>5104</x:v>
      </x:c>
      <x:c r="K31" s="8"/>
      <x:c r="L31" s="8" t="n">
        <x:f>J31-K31</x:f>
        <x:v>5104</x:v>
      </x:c>
      <x:c r="M31" s="2" t="str">
        <x:f>TEXT(B31,"yyyy-mm")</x:f>
        <x:v>2026-07</x:v>
      </x:c>
      <x:c r="N31" s="2"/>
      <x:c r="O31" s="2"/>
      <x:c r="P31" s="2"/>
    </x:row>
    <x:row r="32" ht="26" customHeight="1">
      <x:c r="A32" s="2" t="str">
        <x:v>O031</x:v>
      </x:c>
      <x:c r="B32" s="7" t="d">
        <x:v>2026-07-03T00:00:00.000Z</x:v>
      </x:c>
      <x:c r="C32" s="2" t="str">
        <x:v>Рюкзак</x:v>
      </x:c>
      <x:c r="D32" s="2" t="str">
        <x:v>Маркетплейс</x:v>
      </x:c>
      <x:c r="E32" s="29" t="n">
        <x:v>2</x:v>
      </x:c>
      <x:c r="F32" s="8" t="n">
        <x:v>3600</x:v>
      </x:c>
      <x:c r="G32" s="8" t="n">
        <x:v>864</x:v>
      </x:c>
      <x:c r="H32" s="8" t="n">
        <x:v>1900</x:v>
      </x:c>
      <x:c r="I32" s="2" t="str">
        <x:v>оплачен</x:v>
      </x:c>
      <x:c r="J32" s="8" t="n">
        <x:f>IF(I32="оплачен",E32*F32-G32,0)</x:f>
        <x:v>6336</x:v>
      </x:c>
      <x:c r="K32" s="8"/>
      <x:c r="L32" s="8" t="n">
        <x:f>J32-K32</x:f>
        <x:v>6336</x:v>
      </x:c>
      <x:c r="M32" s="2" t="str">
        <x:f>TEXT(B32,"yyyy-mm")</x:f>
        <x:v>2026-07</x:v>
      </x:c>
      <x:c r="N32" s="2"/>
      <x:c r="O32" s="2"/>
      <x:c r="P32" s="2"/>
    </x:row>
    <x:row r="33" ht="26" customHeight="1">
      <x:c r="A33" s="2" t="str">
        <x:v>O032</x:v>
      </x:c>
      <x:c r="B33" s="7" t="d">
        <x:v>2026-07-04T00:00:00.000Z</x:v>
      </x:c>
      <x:c r="C33" s="2" t="str">
        <x:v>Рюкзак</x:v>
      </x:c>
      <x:c r="D33" s="2" t="str">
        <x:v>Маркетплейс</x:v>
      </x:c>
      <x:c r="E33" s="29" t="n">
        <x:v>4</x:v>
      </x:c>
      <x:c r="F33" s="8" t="n">
        <x:v>3600</x:v>
      </x:c>
      <x:c r="G33" s="8" t="n">
        <x:v>1728</x:v>
      </x:c>
      <x:c r="H33" s="8" t="n">
        <x:v>1900</x:v>
      </x:c>
      <x:c r="I33" s="2" t="str">
        <x:v>оплачен</x:v>
      </x:c>
      <x:c r="J33" s="8" t="n">
        <x:f>IF(I33="оплачен",E33*F33-G33,0)</x:f>
        <x:v>12672</x:v>
      </x:c>
      <x:c r="K33" s="8"/>
      <x:c r="L33" s="8" t="n">
        <x:f>J33-K33</x:f>
        <x:v>12672</x:v>
      </x:c>
      <x:c r="M33" s="2" t="str">
        <x:f>TEXT(B33,"yyyy-mm")</x:f>
        <x:v>2026-07</x:v>
      </x:c>
      <x:c r="N33" s="2"/>
      <x:c r="O33" s="2"/>
      <x:c r="P33" s="2"/>
    </x:row>
    <x:row r="34" ht="26" customHeight="1">
      <x:c r="A34" s="2" t="str">
        <x:v>O033</x:v>
      </x:c>
      <x:c r="B34" s="7" t="d">
        <x:v>2026-07-05T00:00:00.000Z</x:v>
      </x:c>
      <x:c r="C34" s="2" t="str">
        <x:v>Термокружка</x:v>
      </x:c>
      <x:c r="D34" s="2" t="str">
        <x:v>Соцсети</x:v>
      </x:c>
      <x:c r="E34" s="29" t="n">
        <x:v>3</x:v>
      </x:c>
      <x:c r="F34" s="8" t="n">
        <x:v>1600</x:v>
      </x:c>
      <x:c r="G34" s="8" t="n">
        <x:v>144</x:v>
      </x:c>
      <x:c r="H34" s="8" t="n">
        <x:v>650</x:v>
      </x:c>
      <x:c r="I34" s="2" t="str">
        <x:v>оплачен</x:v>
      </x:c>
      <x:c r="J34" s="8" t="n">
        <x:f>IF(I34="оплачен",E34*F34-G34,0)</x:f>
        <x:v>4656</x:v>
      </x:c>
      <x:c r="K34" s="8"/>
      <x:c r="L34" s="8" t="n">
        <x:f>J34-K34</x:f>
        <x:v>4656</x:v>
      </x:c>
      <x:c r="M34" s="2" t="str">
        <x:f>TEXT(B34,"yyyy-mm")</x:f>
        <x:v>2026-07</x:v>
      </x:c>
      <x:c r="N34" s="2"/>
      <x:c r="O34" s="2"/>
      <x:c r="P34" s="2"/>
    </x:row>
    <x:row r="35" ht="26" customHeight="1">
      <x:c r="A35" s="2" t="str">
        <x:v>O034</x:v>
      </x:c>
      <x:c r="B35" s="7" t="d">
        <x:v>2026-07-06T00:00:00.000Z</x:v>
      </x:c>
      <x:c r="C35" s="2" t="str">
        <x:v>Термокружка</x:v>
      </x:c>
      <x:c r="D35" s="2" t="str">
        <x:v>Соцсети</x:v>
      </x:c>
      <x:c r="E35" s="29" t="n">
        <x:v>2</x:v>
      </x:c>
      <x:c r="F35" s="8" t="n">
        <x:v>1600</x:v>
      </x:c>
      <x:c r="G35" s="8" t="n">
        <x:v>96</x:v>
      </x:c>
      <x:c r="H35" s="8" t="n">
        <x:v>650</x:v>
      </x:c>
      <x:c r="I35" s="2" t="str">
        <x:v>оплачен</x:v>
      </x:c>
      <x:c r="J35" s="8" t="n">
        <x:f>IF(I35="оплачен",E35*F35-G35,0)</x:f>
        <x:v>3104</x:v>
      </x:c>
      <x:c r="K35" s="8"/>
      <x:c r="L35" s="8" t="n">
        <x:f>J35-K35</x:f>
        <x:v>3104</x:v>
      </x:c>
      <x:c r="M35" s="2" t="str">
        <x:f>TEXT(B35,"yyyy-mm")</x:f>
        <x:v>2026-07</x:v>
      </x:c>
      <x:c r="N35" s="2"/>
      <x:c r="O35" s="2"/>
      <x:c r="P35" s="2"/>
    </x:row>
    <x:row r="36" ht="26" customHeight="1">
      <x:c r="A36" s="2" t="str">
        <x:v>O035</x:v>
      </x:c>
      <x:c r="B36" s="7" t="d">
        <x:v>2026-07-07T00:00:00.000Z</x:v>
      </x:c>
      <x:c r="C36" s="2" t="str">
        <x:v>Настольная лампа</x:v>
      </x:c>
      <x:c r="D36" s="2" t="str">
        <x:v>Соцсети</x:v>
      </x:c>
      <x:c r="E36" s="29" t="n">
        <x:v>3</x:v>
      </x:c>
      <x:c r="F36" s="8" t="n">
        <x:v>2900</x:v>
      </x:c>
      <x:c r="G36" s="8" t="n">
        <x:v>261</x:v>
      </x:c>
      <x:c r="H36" s="8" t="n">
        <x:v>1700</x:v>
      </x:c>
      <x:c r="I36" s="2" t="str">
        <x:v>возвращён</x:v>
      </x:c>
      <x:c r="J36" s="8" t="n">
        <x:f>IF(I36="оплачен",E36*F36-G36,0)</x:f>
        <x:v>0</x:v>
      </x:c>
      <x:c r="K36" s="8"/>
      <x:c r="L36" s="8" t="n">
        <x:f>J36-K36</x:f>
        <x:v>0</x:v>
      </x:c>
      <x:c r="M36" s="2" t="str">
        <x:f>TEXT(B36,"yyyy-mm")</x:f>
        <x:v>2026-07</x:v>
      </x:c>
      <x:c r="N36" s="2"/>
      <x:c r="O36" s="2"/>
      <x:c r="P36" s="2"/>
    </x:row>
    <x:row r="37" ht="26" customHeight="1">
      <x:c r="A37" s="2" t="str">
        <x:v>O036</x:v>
      </x:c>
      <x:c r="B37" s="7" t="d">
        <x:v>2026-07-08T00:00:00.000Z</x:v>
      </x:c>
      <x:c r="C37" s="2" t="str">
        <x:v>Термокружка</x:v>
      </x:c>
      <x:c r="D37" s="2" t="str">
        <x:v>Сайт</x:v>
      </x:c>
      <x:c r="E37" s="29" t="n">
        <x:v>2</x:v>
      </x:c>
      <x:c r="F37" s="8" t="n">
        <x:v>1600</x:v>
      </x:c>
      <x:c r="G37" s="8" t="n">
        <x:v>96</x:v>
      </x:c>
      <x:c r="H37" s="8" t="n">
        <x:v>650</x:v>
      </x:c>
      <x:c r="I37" s="2" t="str">
        <x:v>оплачен</x:v>
      </x:c>
      <x:c r="J37" s="8" t="n">
        <x:f>IF(I37="оплачен",E37*F37-G37,0)</x:f>
        <x:v>3104</x:v>
      </x:c>
      <x:c r="K37" s="8"/>
      <x:c r="L37" s="8" t="n">
        <x:f>J37-K37</x:f>
        <x:v>3104</x:v>
      </x:c>
      <x:c r="M37" s="2" t="str">
        <x:f>TEXT(B37,"yyyy-mm")</x:f>
        <x:v>2026-07</x:v>
      </x:c>
      <x:c r="N37" s="2"/>
      <x:c r="O37" s="2"/>
      <x:c r="P37" s="2"/>
    </x:row>
    <x:row r="38" ht="26" customHeight="1">
      <x:c r="A38" s="2" t="str">
        <x:v>O037</x:v>
      </x:c>
      <x:c r="B38" s="7" t="d">
        <x:v>2026-07-09T00:00:00.000Z</x:v>
      </x:c>
      <x:c r="C38" s="2" t="str">
        <x:v>Термокружка</x:v>
      </x:c>
      <x:c r="D38" s="2" t="str">
        <x:v>Сайт</x:v>
      </x:c>
      <x:c r="E38" s="29" t="n">
        <x:v>2</x:v>
      </x:c>
      <x:c r="F38" s="8" t="n">
        <x:v>1600</x:v>
      </x:c>
      <x:c r="G38" s="8" t="n">
        <x:v>96</x:v>
      </x:c>
      <x:c r="H38" s="8" t="n">
        <x:v>650</x:v>
      </x:c>
      <x:c r="I38" s="2" t="str">
        <x:v>оплачен</x:v>
      </x:c>
      <x:c r="J38" s="8" t="n">
        <x:f>IF(I38="оплачен",E38*F38-G38,0)</x:f>
        <x:v>3104</x:v>
      </x:c>
      <x:c r="K38" s="8"/>
      <x:c r="L38" s="8" t="n">
        <x:f>J38-K38</x:f>
        <x:v>3104</x:v>
      </x:c>
      <x:c r="M38" s="2" t="str">
        <x:f>TEXT(B38,"yyyy-mm")</x:f>
        <x:v>2026-07</x:v>
      </x:c>
      <x:c r="N38" s="2"/>
      <x:c r="O38" s="2"/>
      <x:c r="P38" s="2"/>
    </x:row>
    <x:row r="39" ht="26" customHeight="1">
      <x:c r="A39" s="2" t="str">
        <x:v>O038</x:v>
      </x:c>
      <x:c r="B39" s="7" t="d">
        <x:v>2026-07-10T00:00:00.000Z</x:v>
      </x:c>
      <x:c r="C39" s="2" t="str">
        <x:v>Термокружка</x:v>
      </x:c>
      <x:c r="D39" s="2" t="str">
        <x:v>Сайт</x:v>
      </x:c>
      <x:c r="E39" s="29" t="n">
        <x:v>3</x:v>
      </x:c>
      <x:c r="F39" s="8" t="n">
        <x:v>1600</x:v>
      </x:c>
      <x:c r="G39" s="8" t="n">
        <x:v>144</x:v>
      </x:c>
      <x:c r="H39" s="8" t="n">
        <x:v>650</x:v>
      </x:c>
      <x:c r="I39" s="2" t="str">
        <x:v>оплачен</x:v>
      </x:c>
      <x:c r="J39" s="8" t="n">
        <x:f>IF(I39="оплачен",E39*F39-G39,0)</x:f>
        <x:v>4656</x:v>
      </x:c>
      <x:c r="K39" s="8"/>
      <x:c r="L39" s="8" t="n">
        <x:f>J39-K39</x:f>
        <x:v>4656</x:v>
      </x:c>
      <x:c r="M39" s="2" t="str">
        <x:f>TEXT(B39,"yyyy-mm")</x:f>
        <x:v>2026-07</x:v>
      </x:c>
      <x:c r="N39" s="2"/>
      <x:c r="O39" s="2"/>
      <x:c r="P39" s="2"/>
    </x:row>
    <x:row r="40" ht="26" customHeight="1">
      <x:c r="A40" s="2" t="str">
        <x:v>O039</x:v>
      </x:c>
      <x:c r="B40" s="7" t="d">
        <x:v>2026-07-11T00:00:00.000Z</x:v>
      </x:c>
      <x:c r="C40" s="2" t="str">
        <x:v>Термокружка</x:v>
      </x:c>
      <x:c r="D40" s="2" t="str">
        <x:v>Соцсети</x:v>
      </x:c>
      <x:c r="E40" s="29" t="n">
        <x:v>3</x:v>
      </x:c>
      <x:c r="F40" s="8" t="n">
        <x:v>1600</x:v>
      </x:c>
      <x:c r="G40" s="8" t="n">
        <x:v>144</x:v>
      </x:c>
      <x:c r="H40" s="8" t="n">
        <x:v>650</x:v>
      </x:c>
      <x:c r="I40" s="2" t="str">
        <x:v>оплачен</x:v>
      </x:c>
      <x:c r="J40" s="8" t="n">
        <x:f>IF(I40="оплачен",E40*F40-G40,0)</x:f>
        <x:v>4656</x:v>
      </x:c>
      <x:c r="K40" s="8"/>
      <x:c r="L40" s="8" t="n">
        <x:f>J40-K40</x:f>
        <x:v>4656</x:v>
      </x:c>
      <x:c r="M40" s="2" t="str">
        <x:f>TEXT(B40,"yyyy-mm")</x:f>
        <x:v>2026-07</x:v>
      </x:c>
      <x:c r="N40" s="2"/>
      <x:c r="O40" s="2"/>
      <x:c r="P40" s="2"/>
    </x:row>
    <x:row r="41" ht="26" customHeight="1">
      <x:c r="A41" s="2" t="str">
        <x:v>O040</x:v>
      </x:c>
      <x:c r="B41" s="7" t="d">
        <x:v>2026-07-12T00:00:00.000Z</x:v>
      </x:c>
      <x:c r="C41" s="2" t="str">
        <x:v>Рюкзак</x:v>
      </x:c>
      <x:c r="D41" s="2" t="str">
        <x:v>Соцсети</x:v>
      </x:c>
      <x:c r="E41" s="29" t="n">
        <x:v>1</x:v>
      </x:c>
      <x:c r="F41" s="8" t="n">
        <x:v>3600</x:v>
      </x:c>
      <x:c r="G41" s="8" t="n">
        <x:v>108</x:v>
      </x:c>
      <x:c r="H41" s="8" t="n">
        <x:v>1900</x:v>
      </x:c>
      <x:c r="I41" s="2" t="str">
        <x:v>отменён</x:v>
      </x:c>
      <x:c r="J41" s="8" t="n">
        <x:f>IF(I41="оплачен",E41*F41-G41,0)</x:f>
        <x:v>0</x:v>
      </x:c>
      <x:c r="K41" s="8"/>
      <x:c r="L41" s="8" t="n">
        <x:f>J41-K41</x:f>
        <x:v>0</x:v>
      </x:c>
      <x:c r="M41" s="2" t="str">
        <x:f>TEXT(B41,"yyyy-mm")</x:f>
        <x:v>2026-07</x:v>
      </x:c>
      <x:c r="N41" s="2"/>
      <x:c r="O41" s="2"/>
      <x:c r="P41" s="2"/>
    </x:row>
    <x:row r="42" ht="26" customHeight="1">
      <x:c r="A42" s="2" t="str">
        <x:v>O041</x:v>
      </x:c>
      <x:c r="B42" s="7" t="d">
        <x:v>2026-07-13T00:00:00.000Z</x:v>
      </x:c>
      <x:c r="C42" s="2" t="str">
        <x:v>Настольная лампа</x:v>
      </x:c>
      <x:c r="D42" s="2" t="str">
        <x:v>Соцсети</x:v>
      </x:c>
      <x:c r="E42" s="29" t="n">
        <x:v>4</x:v>
      </x:c>
      <x:c r="F42" s="8" t="n">
        <x:v>2900</x:v>
      </x:c>
      <x:c r="G42" s="8" t="n">
        <x:v>348</x:v>
      </x:c>
      <x:c r="H42" s="8" t="n">
        <x:v>1700</x:v>
      </x:c>
      <x:c r="I42" s="2" t="str">
        <x:v>оплачен</x:v>
      </x:c>
      <x:c r="J42" s="8" t="n">
        <x:f>IF(I42="оплачен",E42*F42-G42,0)</x:f>
        <x:v>11252</x:v>
      </x:c>
      <x:c r="K42" s="8"/>
      <x:c r="L42" s="8" t="n">
        <x:f>J42-K42</x:f>
        <x:v>11252</x:v>
      </x:c>
      <x:c r="M42" s="2" t="str">
        <x:f>TEXT(B42,"yyyy-mm")</x:f>
        <x:v>2026-07</x:v>
      </x:c>
      <x:c r="N42" s="2"/>
      <x:c r="O42" s="2"/>
      <x:c r="P42" s="2"/>
    </x:row>
    <x:row r="43" ht="26" customHeight="1">
      <x:c r="A43" s="2" t="str">
        <x:v>O042</x:v>
      </x:c>
      <x:c r="B43" s="7" t="d">
        <x:v>2026-07-14T00:00:00.000Z</x:v>
      </x:c>
      <x:c r="C43" s="2" t="str">
        <x:v>Настольная лампа</x:v>
      </x:c>
      <x:c r="D43" s="2" t="str">
        <x:v>Маркетплейс</x:v>
      </x:c>
      <x:c r="E43" s="29" t="n">
        <x:v>1</x:v>
      </x:c>
      <x:c r="F43" s="8" t="n">
        <x:v>2900</x:v>
      </x:c>
      <x:c r="G43" s="8" t="n">
        <x:v>348</x:v>
      </x:c>
      <x:c r="H43" s="8" t="n">
        <x:v>1700</x:v>
      </x:c>
      <x:c r="I43" s="2" t="str">
        <x:v>оплачен</x:v>
      </x:c>
      <x:c r="J43" s="8" t="n">
        <x:f>IF(I43="оплачен",E43*F43-G43,0)</x:f>
        <x:v>2552</x:v>
      </x:c>
      <x:c r="K43" s="8"/>
      <x:c r="L43" s="8" t="n">
        <x:f>J43-K43</x:f>
        <x:v>2552</x:v>
      </x:c>
      <x:c r="M43" s="2" t="str">
        <x:f>TEXT(B43,"yyyy-mm")</x:f>
        <x:v>2026-07</x:v>
      </x:c>
      <x:c r="N43" s="2"/>
      <x:c r="O43" s="2"/>
      <x:c r="P43" s="2"/>
    </x:row>
    <x:row r="44" ht="26" customHeight="1">
      <x:c r="A44" s="2" t="str">
        <x:v>O043</x:v>
      </x:c>
      <x:c r="B44" s="7" t="d">
        <x:v>2026-07-15T00:00:00.000Z</x:v>
      </x:c>
      <x:c r="C44" s="2" t="str">
        <x:v>Термокружка</x:v>
      </x:c>
      <x:c r="D44" s="2" t="str">
        <x:v>Маркетплейс</x:v>
      </x:c>
      <x:c r="E44" s="29" t="n">
        <x:v>1</x:v>
      </x:c>
      <x:c r="F44" s="8" t="n">
        <x:v>1600</x:v>
      </x:c>
      <x:c r="G44" s="8" t="n">
        <x:v>192</x:v>
      </x:c>
      <x:c r="H44" s="8" t="n">
        <x:v>650</x:v>
      </x:c>
      <x:c r="I44" s="2" t="str">
        <x:v>оплачен</x:v>
      </x:c>
      <x:c r="J44" s="8" t="n">
        <x:f>IF(I44="оплачен",E44*F44-G44,0)</x:f>
        <x:v>1408</x:v>
      </x:c>
      <x:c r="K44" s="8"/>
      <x:c r="L44" s="8" t="n">
        <x:f>J44-K44</x:f>
        <x:v>1408</x:v>
      </x:c>
      <x:c r="M44" s="2" t="str">
        <x:f>TEXT(B44,"yyyy-mm")</x:f>
        <x:v>2026-07</x:v>
      </x:c>
      <x:c r="N44" s="2"/>
      <x:c r="O44" s="2"/>
      <x:c r="P44" s="2"/>
    </x:row>
    <x:row r="45" ht="26" customHeight="1">
      <x:c r="A45" s="2" t="str">
        <x:v>O044</x:v>
      </x:c>
      <x:c r="B45" s="7" t="d">
        <x:v>2026-07-16T00:00:00.000Z</x:v>
      </x:c>
      <x:c r="C45" s="2" t="str">
        <x:v>Планер</x:v>
      </x:c>
      <x:c r="D45" s="2" t="str">
        <x:v>Соцсети</x:v>
      </x:c>
      <x:c r="E45" s="29" t="n">
        <x:v>2</x:v>
      </x:c>
      <x:c r="F45" s="8" t="n">
        <x:v>800</x:v>
      </x:c>
      <x:c r="G45" s="8" t="n">
        <x:v>48</x:v>
      </x:c>
      <x:c r="H45" s="8" t="n">
        <x:v>280</x:v>
      </x:c>
      <x:c r="I45" s="2" t="str">
        <x:v>оплачен</x:v>
      </x:c>
      <x:c r="J45" s="8" t="n">
        <x:f>IF(I45="оплачен",E45*F45-G45,0)</x:f>
        <x:v>1552</x:v>
      </x:c>
      <x:c r="K45" s="8"/>
      <x:c r="L45" s="8" t="n">
        <x:f>J45-K45</x:f>
        <x:v>1552</x:v>
      </x:c>
      <x:c r="M45" s="2" t="str">
        <x:f>TEXT(B45,"yyyy-mm")</x:f>
        <x:v>2026-07</x:v>
      </x:c>
      <x:c r="N45" s="2"/>
      <x:c r="O45" s="2"/>
      <x:c r="P45" s="2"/>
    </x:row>
    <x:row r="46" ht="26" customHeight="1">
      <x:c r="A46" s="2" t="str">
        <x:v>O045</x:v>
      </x:c>
      <x:c r="B46" s="7" t="d">
        <x:v>2026-07-17T00:00:00.000Z</x:v>
      </x:c>
      <x:c r="C46" s="2" t="str">
        <x:v>Рюкзак</x:v>
      </x:c>
      <x:c r="D46" s="2" t="str">
        <x:v>Соцсети</x:v>
      </x:c>
      <x:c r="E46" s="29" t="n">
        <x:v>4</x:v>
      </x:c>
      <x:c r="F46" s="8" t="n">
        <x:v>3600</x:v>
      </x:c>
      <x:c r="G46" s="8" t="n">
        <x:v>432</x:v>
      </x:c>
      <x:c r="H46" s="8" t="n">
        <x:v>1900</x:v>
      </x:c>
      <x:c r="I46" s="2" t="str">
        <x:v>оплачен</x:v>
      </x:c>
      <x:c r="J46" s="8" t="n">
        <x:f>IF(I46="оплачен",E46*F46-G46,0)</x:f>
        <x:v>13968</x:v>
      </x:c>
      <x:c r="K46" s="8"/>
      <x:c r="L46" s="8" t="n">
        <x:f>J46-K46</x:f>
        <x:v>13968</x:v>
      </x:c>
      <x:c r="M46" s="2" t="str">
        <x:f>TEXT(B46,"yyyy-mm")</x:f>
        <x:v>2026-07</x:v>
      </x:c>
      <x:c r="N46" s="2"/>
      <x:c r="O46" s="2"/>
      <x:c r="P46" s="2"/>
    </x:row>
    <x:row r="47" ht="26" customHeight="1">
      <x:c r="A47" s="2" t="str">
        <x:v>O046</x:v>
      </x:c>
      <x:c r="B47" s="7" t="d">
        <x:v>2026-07-18T00:00:00.000Z</x:v>
      </x:c>
      <x:c r="C47" s="2" t="str">
        <x:v>Настольная лампа</x:v>
      </x:c>
      <x:c r="D47" s="2" t="str">
        <x:v>Маркетплейс</x:v>
      </x:c>
      <x:c r="E47" s="29" t="n">
        <x:v>4</x:v>
      </x:c>
      <x:c r="F47" s="8" t="n">
        <x:v>2900</x:v>
      </x:c>
      <x:c r="G47" s="8" t="n">
        <x:v>1392</x:v>
      </x:c>
      <x:c r="H47" s="8" t="n">
        <x:v>1700</x:v>
      </x:c>
      <x:c r="I47" s="2" t="str">
        <x:v>оплачен</x:v>
      </x:c>
      <x:c r="J47" s="8" t="n">
        <x:f>IF(I47="оплачен",E47*F47-G47,0)</x:f>
        <x:v>10208</x:v>
      </x:c>
      <x:c r="K47" s="8"/>
      <x:c r="L47" s="8" t="n">
        <x:f>J47-K47</x:f>
        <x:v>10208</x:v>
      </x:c>
      <x:c r="M47" s="2" t="str">
        <x:f>TEXT(B47,"yyyy-mm")</x:f>
        <x:v>2026-07</x:v>
      </x:c>
      <x:c r="N47" s="2"/>
      <x:c r="O47" s="2"/>
      <x:c r="P47" s="2"/>
    </x:row>
    <x:row r="48" ht="26" customHeight="1">
      <x:c r="A48" s="2" t="str">
        <x:v>O047</x:v>
      </x:c>
      <x:c r="B48" s="7" t="d">
        <x:v>2026-07-19T00:00:00.000Z</x:v>
      </x:c>
      <x:c r="C48" s="2" t="str">
        <x:v>Планер</x:v>
      </x:c>
      <x:c r="D48" s="2" t="str">
        <x:v>Сайт</x:v>
      </x:c>
      <x:c r="E48" s="29" t="n">
        <x:v>4</x:v>
      </x:c>
      <x:c r="F48" s="8" t="n">
        <x:v>800</x:v>
      </x:c>
      <x:c r="G48" s="8" t="n">
        <x:v>96</x:v>
      </x:c>
      <x:c r="H48" s="8" t="n">
        <x:v>280</x:v>
      </x:c>
      <x:c r="I48" s="2" t="str">
        <x:v>оплачен</x:v>
      </x:c>
      <x:c r="J48" s="8" t="n">
        <x:f>IF(I48="оплачен",E48*F48-G48,0)</x:f>
        <x:v>3104</x:v>
      </x:c>
      <x:c r="K48" s="8"/>
      <x:c r="L48" s="8" t="n">
        <x:f>J48-K48</x:f>
        <x:v>3104</x:v>
      </x:c>
      <x:c r="M48" s="2" t="str">
        <x:f>TEXT(B48,"yyyy-mm")</x:f>
        <x:v>2026-07</x:v>
      </x:c>
      <x:c r="N48" s="2"/>
      <x:c r="O48" s="2"/>
      <x:c r="P48" s="2"/>
    </x:row>
    <x:row r="49" ht="26" customHeight="1">
      <x:c r="A49" s="2" t="str">
        <x:v>O048</x:v>
      </x:c>
      <x:c r="B49" s="7" t="d">
        <x:v>2026-07-20T00:00:00.000Z</x:v>
      </x:c>
      <x:c r="C49" s="2" t="str">
        <x:v>Термокружка</x:v>
      </x:c>
      <x:c r="D49" s="2" t="str">
        <x:v>Маркетплейс</x:v>
      </x:c>
      <x:c r="E49" s="29" t="n">
        <x:v>2</x:v>
      </x:c>
      <x:c r="F49" s="8" t="n">
        <x:v>1600</x:v>
      </x:c>
      <x:c r="G49" s="8" t="n">
        <x:v>384</x:v>
      </x:c>
      <x:c r="H49" s="8" t="n">
        <x:v>650</x:v>
      </x:c>
      <x:c r="I49" s="2" t="str">
        <x:v>оплачен</x:v>
      </x:c>
      <x:c r="J49" s="8" t="n">
        <x:f>IF(I49="оплачен",E49*F49-G49,0)</x:f>
        <x:v>2816</x:v>
      </x:c>
      <x:c r="K49" s="8"/>
      <x:c r="L49" s="8" t="n">
        <x:f>J49-K49</x:f>
        <x:v>2816</x:v>
      </x:c>
      <x:c r="M49" s="2" t="str">
        <x:f>TEXT(B49,"yyyy-mm")</x:f>
        <x:v>2026-07</x:v>
      </x:c>
      <x:c r="N49" s="2"/>
      <x:c r="O49" s="2"/>
      <x:c r="P49" s="2"/>
    </x:row>
    <x:row r="50" ht="26" customHeight="1">
      <x:c r="A50" s="2" t="str">
        <x:v>O049</x:v>
      </x:c>
      <x:c r="B50" s="7" t="d">
        <x:v>2026-07-21T00:00:00.000Z</x:v>
      </x:c>
      <x:c r="C50" s="2" t="str">
        <x:v>Рюкзак</x:v>
      </x:c>
      <x:c r="D50" s="2" t="str">
        <x:v>Маркетплейс</x:v>
      </x:c>
      <x:c r="E50" s="29" t="n">
        <x:v>1</x:v>
      </x:c>
      <x:c r="F50" s="8" t="n">
        <x:v>3600</x:v>
      </x:c>
      <x:c r="G50" s="8" t="n">
        <x:v>432</x:v>
      </x:c>
      <x:c r="H50" s="8" t="n">
        <x:v>1900</x:v>
      </x:c>
      <x:c r="I50" s="2" t="str">
        <x:v>оплачен</x:v>
      </x:c>
      <x:c r="J50" s="8" t="n">
        <x:f>IF(I50="оплачен",E50*F50-G50,0)</x:f>
        <x:v>3168</x:v>
      </x:c>
      <x:c r="K50" s="8"/>
      <x:c r="L50" s="8" t="n">
        <x:f>J50-K50</x:f>
        <x:v>3168</x:v>
      </x:c>
      <x:c r="M50" s="2" t="str">
        <x:f>TEXT(B50,"yyyy-mm")</x:f>
        <x:v>2026-07</x:v>
      </x:c>
      <x:c r="N50" s="2"/>
      <x:c r="O50" s="2"/>
      <x:c r="P50" s="2"/>
    </x:row>
    <x:row r="51" ht="26" customHeight="1">
      <x:c r="A51" s="2" t="str">
        <x:v>O050</x:v>
      </x:c>
      <x:c r="B51" s="7" t="d">
        <x:v>2026-07-22T00:00:00.000Z</x:v>
      </x:c>
      <x:c r="C51" s="2" t="str">
        <x:v>Планер</x:v>
      </x:c>
      <x:c r="D51" s="2" t="str">
        <x:v>Соцсети</x:v>
      </x:c>
      <x:c r="E51" s="29" t="n">
        <x:v>1</x:v>
      </x:c>
      <x:c r="F51" s="8" t="n">
        <x:v>800</x:v>
      </x:c>
      <x:c r="G51" s="8" t="n">
        <x:v>24</x:v>
      </x:c>
      <x:c r="H51" s="8" t="n">
        <x:v>280</x:v>
      </x:c>
      <x:c r="I51" s="2" t="str">
        <x:v>оплачен</x:v>
      </x:c>
      <x:c r="J51" s="8" t="n">
        <x:f>IF(I51="оплачен",E51*F51-G51,0)</x:f>
        <x:v>776</x:v>
      </x:c>
      <x:c r="K51" s="8"/>
      <x:c r="L51" s="8" t="n">
        <x:f>J51-K51</x:f>
        <x:v>776</x:v>
      </x:c>
      <x:c r="M51" s="2" t="str">
        <x:f>TEXT(B51,"yyyy-mm")</x:f>
        <x:v>2026-07</x:v>
      </x:c>
      <x:c r="N51" s="2"/>
      <x:c r="O51" s="2"/>
      <x:c r="P51" s="2"/>
    </x:row>
    <x:row r="52" ht="26" customHeight="1">
      <x:c r="A52" s="2" t="str">
        <x:v>O051</x:v>
      </x:c>
      <x:c r="B52" s="7" t="d">
        <x:v>2026-07-23T00:00:00.000Z</x:v>
      </x:c>
      <x:c r="C52" s="2" t="str">
        <x:v>Планер</x:v>
      </x:c>
      <x:c r="D52" s="2" t="str">
        <x:v>Соцсети</x:v>
      </x:c>
      <x:c r="E52" s="29" t="n">
        <x:v>2</x:v>
      </x:c>
      <x:c r="F52" s="8" t="n">
        <x:v>800</x:v>
      </x:c>
      <x:c r="G52" s="8" t="n">
        <x:v>48</x:v>
      </x:c>
      <x:c r="H52" s="8" t="n">
        <x:v>280</x:v>
      </x:c>
      <x:c r="I52" s="2" t="str">
        <x:v>оплачен</x:v>
      </x:c>
      <x:c r="J52" s="8" t="n">
        <x:f>IF(I52="оплачен",E52*F52-G52,0)</x:f>
        <x:v>1552</x:v>
      </x:c>
      <x:c r="K52" s="8"/>
      <x:c r="L52" s="8" t="n">
        <x:f>J52-K52</x:f>
        <x:v>1552</x:v>
      </x:c>
      <x:c r="M52" s="2" t="str">
        <x:f>TEXT(B52,"yyyy-mm")</x:f>
        <x:v>2026-07</x:v>
      </x:c>
      <x:c r="N52" s="2"/>
      <x:c r="O52" s="2"/>
      <x:c r="P52" s="2"/>
    </x:row>
    <x:row r="53" ht="26" customHeight="1">
      <x:c r="A53" s="2" t="str">
        <x:v>O052</x:v>
      </x:c>
      <x:c r="B53" s="7" t="d">
        <x:v>2026-07-24T00:00:00.000Z</x:v>
      </x:c>
      <x:c r="C53" s="2" t="str">
        <x:v>Планер</x:v>
      </x:c>
      <x:c r="D53" s="2" t="str">
        <x:v>Сайт</x:v>
      </x:c>
      <x:c r="E53" s="29" t="n">
        <x:v>2</x:v>
      </x:c>
      <x:c r="F53" s="8" t="n">
        <x:v>800</x:v>
      </x:c>
      <x:c r="G53" s="8" t="n">
        <x:v>48</x:v>
      </x:c>
      <x:c r="H53" s="8" t="n">
        <x:v>280</x:v>
      </x:c>
      <x:c r="I53" s="2" t="str">
        <x:v>возвращён</x:v>
      </x:c>
      <x:c r="J53" s="8" t="n">
        <x:f>IF(I53="оплачен",E53*F53-G53,0)</x:f>
        <x:v>0</x:v>
      </x:c>
      <x:c r="K53" s="8"/>
      <x:c r="L53" s="8" t="n">
        <x:f>J53-K53</x:f>
        <x:v>0</x:v>
      </x:c>
      <x:c r="M53" s="2" t="str">
        <x:f>TEXT(B53,"yyyy-mm")</x:f>
        <x:v>2026-07</x:v>
      </x:c>
      <x:c r="N53" s="2"/>
      <x:c r="O53" s="2"/>
      <x:c r="P53" s="2"/>
    </x:row>
    <x:row r="54" ht="26" customHeight="1">
      <x:c r="A54" s="2" t="str">
        <x:v>O053</x:v>
      </x:c>
      <x:c r="B54" s="7" t="d">
        <x:v>2026-07-25T00:00:00.000Z</x:v>
      </x:c>
      <x:c r="C54" s="2" t="str">
        <x:v>Рюкзак</x:v>
      </x:c>
      <x:c r="D54" s="2" t="str">
        <x:v>Сайт</x:v>
      </x:c>
      <x:c r="E54" s="29" t="n">
        <x:v>3</x:v>
      </x:c>
      <x:c r="F54" s="8" t="n">
        <x:v>3600</x:v>
      </x:c>
      <x:c r="G54" s="8" t="n">
        <x:v>324</x:v>
      </x:c>
      <x:c r="H54" s="8" t="n">
        <x:v>1900</x:v>
      </x:c>
      <x:c r="I54" s="2" t="str">
        <x:v>отменён</x:v>
      </x:c>
      <x:c r="J54" s="8" t="n">
        <x:f>IF(I54="оплачен",E54*F54-G54,0)</x:f>
        <x:v>0</x:v>
      </x:c>
      <x:c r="K54" s="8"/>
      <x:c r="L54" s="8" t="n">
        <x:f>J54-K54</x:f>
        <x:v>0</x:v>
      </x:c>
      <x:c r="M54" s="2" t="str">
        <x:f>TEXT(B54,"yyyy-mm")</x:f>
        <x:v>2026-07</x:v>
      </x:c>
      <x:c r="N54" s="2"/>
      <x:c r="O54" s="2"/>
      <x:c r="P54" s="2"/>
    </x:row>
    <x:row r="55" ht="26" customHeight="1">
      <x:c r="A55" s="2" t="str">
        <x:v>O054</x:v>
      </x:c>
      <x:c r="B55" s="7" t="d">
        <x:v>2026-07-26T00:00:00.000Z</x:v>
      </x:c>
      <x:c r="C55" s="2" t="str">
        <x:v>Настольная лампа</x:v>
      </x:c>
      <x:c r="D55" s="2" t="str">
        <x:v>Соцсети</x:v>
      </x:c>
      <x:c r="E55" s="29" t="n">
        <x:v>2</x:v>
      </x:c>
      <x:c r="F55" s="8" t="n">
        <x:v>2900</x:v>
      </x:c>
      <x:c r="G55" s="8" t="n">
        <x:v>174</x:v>
      </x:c>
      <x:c r="H55" s="8" t="n">
        <x:v>1700</x:v>
      </x:c>
      <x:c r="I55" s="2" t="str">
        <x:v>оплачен</x:v>
      </x:c>
      <x:c r="J55" s="8" t="n">
        <x:f>IF(I55="оплачен",E55*F55-G55,0)</x:f>
        <x:v>5626</x:v>
      </x:c>
      <x:c r="K55" s="8"/>
      <x:c r="L55" s="8" t="n">
        <x:f>J55-K55</x:f>
        <x:v>5626</x:v>
      </x:c>
      <x:c r="M55" s="2" t="str">
        <x:f>TEXT(B55,"yyyy-mm")</x:f>
        <x:v>2026-07</x:v>
      </x:c>
      <x:c r="N55" s="2"/>
      <x:c r="O55" s="2"/>
      <x:c r="P55" s="2"/>
    </x:row>
    <x:row r="56" ht="26" customHeight="1">
      <x:c r="A56" s="2" t="str">
        <x:v>O055</x:v>
      </x:c>
      <x:c r="B56" s="7" t="d">
        <x:v>2026-07-27T00:00:00.000Z</x:v>
      </x:c>
      <x:c r="C56" s="2" t="str">
        <x:v>Планер</x:v>
      </x:c>
      <x:c r="D56" s="2" t="str">
        <x:v>Соцсети</x:v>
      </x:c>
      <x:c r="E56" s="29" t="n">
        <x:v>2</x:v>
      </x:c>
      <x:c r="F56" s="8" t="n">
        <x:v>800</x:v>
      </x:c>
      <x:c r="G56" s="8" t="n">
        <x:v>48</x:v>
      </x:c>
      <x:c r="H56" s="8" t="n">
        <x:v>280</x:v>
      </x:c>
      <x:c r="I56" s="2" t="str">
        <x:v>оплачен</x:v>
      </x:c>
      <x:c r="J56" s="8" t="n">
        <x:f>IF(I56="оплачен",E56*F56-G56,0)</x:f>
        <x:v>1552</x:v>
      </x:c>
      <x:c r="K56" s="8"/>
      <x:c r="L56" s="8" t="n">
        <x:f>J56-K56</x:f>
        <x:v>1552</x:v>
      </x:c>
      <x:c r="M56" s="2" t="str">
        <x:f>TEXT(B56,"yyyy-mm")</x:f>
        <x:v>2026-07</x:v>
      </x:c>
      <x:c r="N56" s="2"/>
      <x:c r="O56" s="2"/>
      <x:c r="P56" s="2"/>
    </x:row>
    <x:row r="57" ht="26" customHeight="1">
      <x:c r="A57" s="2" t="str">
        <x:v>O056</x:v>
      </x:c>
      <x:c r="B57" s="7" t="d">
        <x:v>2026-07-28T00:00:00.000Z</x:v>
      </x:c>
      <x:c r="C57" s="2" t="str">
        <x:v>Термокружка</x:v>
      </x:c>
      <x:c r="D57" s="2" t="str">
        <x:v>Маркетплейс</x:v>
      </x:c>
      <x:c r="E57" s="29" t="n">
        <x:v>4</x:v>
      </x:c>
      <x:c r="F57" s="8" t="n">
        <x:v>1600</x:v>
      </x:c>
      <x:c r="G57" s="8" t="n">
        <x:v>768</x:v>
      </x:c>
      <x:c r="H57" s="8" t="n">
        <x:v>650</x:v>
      </x:c>
      <x:c r="I57" s="2" t="str">
        <x:v>оплачен</x:v>
      </x:c>
      <x:c r="J57" s="8" t="n">
        <x:f>IF(I57="оплачен",E57*F57-G57,0)</x:f>
        <x:v>5632</x:v>
      </x:c>
      <x:c r="K57" s="8"/>
      <x:c r="L57" s="8" t="n">
        <x:f>J57-K57</x:f>
        <x:v>5632</x:v>
      </x:c>
      <x:c r="M57" s="2" t="str">
        <x:f>TEXT(B57,"yyyy-mm")</x:f>
        <x:v>2026-07</x:v>
      </x:c>
      <x:c r="N57" s="2"/>
      <x:c r="O57" s="2"/>
      <x:c r="P57" s="2"/>
    </x:row>
    <x:row r="58" ht="26" customHeight="1">
      <x:c r="A58" s="2" t="str">
        <x:v>O057</x:v>
      </x:c>
      <x:c r="B58" s="7" t="d">
        <x:v>2026-07-01T00:00:00.000Z</x:v>
      </x:c>
      <x:c r="C58" s="2" t="str">
        <x:v>Рюкзак</x:v>
      </x:c>
      <x:c r="D58" s="2" t="str">
        <x:v>Сайт</x:v>
      </x:c>
      <x:c r="E58" s="29" t="n">
        <x:v>4</x:v>
      </x:c>
      <x:c r="F58" s="8" t="n">
        <x:v>3600</x:v>
      </x:c>
      <x:c r="G58" s="8" t="n">
        <x:v>432</x:v>
      </x:c>
      <x:c r="H58" s="8" t="n">
        <x:v>1900</x:v>
      </x:c>
      <x:c r="I58" s="2" t="str">
        <x:v>оплачен</x:v>
      </x:c>
      <x:c r="J58" s="8" t="n">
        <x:f>IF(I58="оплачен",E58*F58-G58,0)</x:f>
        <x:v>13968</x:v>
      </x:c>
      <x:c r="K58" s="8"/>
      <x:c r="L58" s="8" t="n">
        <x:f>J58-K58</x:f>
        <x:v>13968</x:v>
      </x:c>
      <x:c r="M58" s="2" t="str">
        <x:f>TEXT(B58,"yyyy-mm")</x:f>
        <x:v>2026-07</x:v>
      </x:c>
      <x:c r="N58" s="2"/>
      <x:c r="O58" s="2"/>
      <x:c r="P58" s="2"/>
    </x:row>
    <x:row r="59" ht="26" customHeight="1">
      <x:c r="A59" s="2" t="str">
        <x:v>O058</x:v>
      </x:c>
      <x:c r="B59" s="7" t="d">
        <x:v>2026-07-02T00:00:00.000Z</x:v>
      </x:c>
      <x:c r="C59" s="2" t="str">
        <x:v>Планер</x:v>
      </x:c>
      <x:c r="D59" s="2" t="str">
        <x:v>Маркетплейс</x:v>
      </x:c>
      <x:c r="E59" s="29" t="n">
        <x:v>1</x:v>
      </x:c>
      <x:c r="F59" s="8" t="n">
        <x:v>800</x:v>
      </x:c>
      <x:c r="G59" s="8" t="n">
        <x:v>96</x:v>
      </x:c>
      <x:c r="H59" s="8" t="n">
        <x:v>280</x:v>
      </x:c>
      <x:c r="I59" s="2" t="str">
        <x:v>оплачен</x:v>
      </x:c>
      <x:c r="J59" s="8" t="n">
        <x:f>IF(I59="оплачен",E59*F59-G59,0)</x:f>
        <x:v>704</x:v>
      </x:c>
      <x:c r="K59" s="8"/>
      <x:c r="L59" s="8" t="n">
        <x:f>J59-K59</x:f>
        <x:v>704</x:v>
      </x:c>
      <x:c r="M59" s="2" t="str">
        <x:f>TEXT(B59,"yyyy-mm")</x:f>
        <x:v>2026-07</x:v>
      </x:c>
      <x:c r="N59" s="2"/>
      <x:c r="O59" s="2"/>
      <x:c r="P59" s="2"/>
    </x:row>
    <x:row r="60" ht="26" customHeight="1">
      <x:c r="A60" s="2" t="str">
        <x:v>O059</x:v>
      </x:c>
      <x:c r="B60" s="7" t="d">
        <x:v>2026-07-03T00:00:00.000Z</x:v>
      </x:c>
      <x:c r="C60" s="2" t="str">
        <x:v>Настольная лампа</x:v>
      </x:c>
      <x:c r="D60" s="2" t="str">
        <x:v>Маркетплейс</x:v>
      </x:c>
      <x:c r="E60" s="29" t="n">
        <x:v>2</x:v>
      </x:c>
      <x:c r="F60" s="8" t="n">
        <x:v>2900</x:v>
      </x:c>
      <x:c r="G60" s="8" t="n">
        <x:v>696</x:v>
      </x:c>
      <x:c r="H60" s="8" t="n">
        <x:v>1700</x:v>
      </x:c>
      <x:c r="I60" s="2" t="str">
        <x:v>оплачен</x:v>
      </x:c>
      <x:c r="J60" s="8" t="n">
        <x:f>IF(I60="оплачен",E60*F60-G60,0)</x:f>
        <x:v>5104</x:v>
      </x:c>
      <x:c r="K60" s="8"/>
      <x:c r="L60" s="8" t="n">
        <x:f>J60-K60</x:f>
        <x:v>5104</x:v>
      </x:c>
      <x:c r="M60" s="2" t="str">
        <x:f>TEXT(B60,"yyyy-mm")</x:f>
        <x:v>2026-07</x:v>
      </x:c>
      <x:c r="N60" s="2"/>
      <x:c r="O60" s="2"/>
      <x:c r="P60" s="2"/>
    </x:row>
    <x:row r="61" ht="26" customHeight="1">
      <x:c r="A61" s="2" t="str">
        <x:v>O060</x:v>
      </x:c>
      <x:c r="B61" s="7" t="d">
        <x:v>2026-07-04T00:00:00.000Z</x:v>
      </x:c>
      <x:c r="C61" s="2" t="str">
        <x:v>Термокружка</x:v>
      </x:c>
      <x:c r="D61" s="2" t="str">
        <x:v>Маркетплейс</x:v>
      </x:c>
      <x:c r="E61" s="29" t="n">
        <x:v>1</x:v>
      </x:c>
      <x:c r="F61" s="8" t="n">
        <x:v>1600</x:v>
      </x:c>
      <x:c r="G61" s="8" t="n">
        <x:v>192</x:v>
      </x:c>
      <x:c r="H61" s="8" t="n">
        <x:v>650</x:v>
      </x:c>
      <x:c r="I61" s="2" t="str">
        <x:v>оплачен</x:v>
      </x:c>
      <x:c r="J61" s="8" t="n">
        <x:f>IF(I61="оплачен",E61*F61-G61,0)</x:f>
        <x:v>1408</x:v>
      </x:c>
      <x:c r="K61" s="8"/>
      <x:c r="L61" s="8" t="n">
        <x:f>J61-K61</x:f>
        <x:v>1408</x:v>
      </x:c>
      <x:c r="M61" s="2" t="str">
        <x:f>TEXT(B61,"yyyy-mm")</x:f>
        <x:v>2026-07</x:v>
      </x:c>
      <x:c r="N61" s="2"/>
      <x:c r="O61" s="2"/>
      <x:c r="P61" s="2"/>
    </x:row>
    <x:row r="62" ht="26" customHeight="1">
      <x:c r="A62" s="2" t="str">
        <x:v>O061</x:v>
      </x:c>
      <x:c r="B62" s="7" t="d">
        <x:v>2026-07-05T00:00:00.000Z</x:v>
      </x:c>
      <x:c r="C62" s="2" t="str">
        <x:v>Рюкзак</x:v>
      </x:c>
      <x:c r="D62" s="2" t="str">
        <x:v>Маркетплейс</x:v>
      </x:c>
      <x:c r="E62" s="29" t="n">
        <x:v>2</x:v>
      </x:c>
      <x:c r="F62" s="8" t="n">
        <x:v>3600</x:v>
      </x:c>
      <x:c r="G62" s="8" t="n">
        <x:v>864</x:v>
      </x:c>
      <x:c r="H62" s="8" t="n">
        <x:v>1900</x:v>
      </x:c>
      <x:c r="I62" s="2" t="str">
        <x:v>оплачен</x:v>
      </x:c>
      <x:c r="J62" s="8" t="n">
        <x:f>IF(I62="оплачен",E62*F62-G62,0)</x:f>
        <x:v>6336</x:v>
      </x:c>
      <x:c r="K62" s="8"/>
      <x:c r="L62" s="8" t="n">
        <x:f>J62-K62</x:f>
        <x:v>6336</x:v>
      </x:c>
      <x:c r="M62" s="2" t="str">
        <x:f>TEXT(B62,"yyyy-mm")</x:f>
        <x:v>2026-07</x:v>
      </x:c>
      <x:c r="N62" s="2"/>
      <x:c r="O62" s="2"/>
      <x:c r="P62" s="2"/>
    </x:row>
    <x:row r="63" ht="26" customHeight="1">
      <x:c r="A63" s="2" t="str">
        <x:v>O062</x:v>
      </x:c>
      <x:c r="B63" s="7" t="d">
        <x:v>2026-07-06T00:00:00.000Z</x:v>
      </x:c>
      <x:c r="C63" s="2" t="str">
        <x:v>Термокружка</x:v>
      </x:c>
      <x:c r="D63" s="2" t="str">
        <x:v>Соцсети</x:v>
      </x:c>
      <x:c r="E63" s="29" t="n">
        <x:v>3</x:v>
      </x:c>
      <x:c r="F63" s="8" t="n">
        <x:v>1600</x:v>
      </x:c>
      <x:c r="G63" s="8" t="n">
        <x:v>144</x:v>
      </x:c>
      <x:c r="H63" s="8" t="n">
        <x:v>650</x:v>
      </x:c>
      <x:c r="I63" s="2" t="str">
        <x:v>оплачен</x:v>
      </x:c>
      <x:c r="J63" s="8" t="n">
        <x:f>IF(I63="оплачен",E63*F63-G63,0)</x:f>
        <x:v>4656</x:v>
      </x:c>
      <x:c r="K63" s="8"/>
      <x:c r="L63" s="8" t="n">
        <x:f>J63-K63</x:f>
        <x:v>4656</x:v>
      </x:c>
      <x:c r="M63" s="2" t="str">
        <x:f>TEXT(B63,"yyyy-mm")</x:f>
        <x:v>2026-07</x:v>
      </x:c>
      <x:c r="N63" s="2"/>
      <x:c r="O63" s="2"/>
      <x:c r="P63" s="2"/>
    </x:row>
    <x:row r="64" ht="26" customHeight="1">
      <x:c r="A64" s="2" t="str">
        <x:v>O063</x:v>
      </x:c>
      <x:c r="B64" s="7" t="d">
        <x:v>2026-07-07T00:00:00.000Z</x:v>
      </x:c>
      <x:c r="C64" s="2" t="str">
        <x:v>Настольная лампа</x:v>
      </x:c>
      <x:c r="D64" s="2" t="str">
        <x:v>Маркетплейс</x:v>
      </x:c>
      <x:c r="E64" s="29" t="n">
        <x:v>1</x:v>
      </x:c>
      <x:c r="F64" s="8" t="n">
        <x:v>2900</x:v>
      </x:c>
      <x:c r="G64" s="8" t="n">
        <x:v>348</x:v>
      </x:c>
      <x:c r="H64" s="8" t="n">
        <x:v>1700</x:v>
      </x:c>
      <x:c r="I64" s="2" t="str">
        <x:v>оплачен</x:v>
      </x:c>
      <x:c r="J64" s="8" t="n">
        <x:f>IF(I64="оплачен",E64*F64-G64,0)</x:f>
        <x:v>2552</x:v>
      </x:c>
      <x:c r="K64" s="8"/>
      <x:c r="L64" s="8" t="n">
        <x:f>J64-K64</x:f>
        <x:v>2552</x:v>
      </x:c>
      <x:c r="M64" s="2" t="str">
        <x:f>TEXT(B64,"yyyy-mm")</x:f>
        <x:v>2026-07</x:v>
      </x:c>
      <x:c r="N64" s="2"/>
      <x:c r="O64" s="2"/>
      <x:c r="P64" s="2"/>
    </x:row>
    <x:row r="65" ht="26" customHeight="1">
      <x:c r="A65" s="2" t="str">
        <x:v>O064</x:v>
      </x:c>
      <x:c r="B65" s="7" t="d">
        <x:v>2026-07-08T00:00:00.000Z</x:v>
      </x:c>
      <x:c r="C65" s="2" t="str">
        <x:v>Настольная лампа</x:v>
      </x:c>
      <x:c r="D65" s="2" t="str">
        <x:v>Сайт</x:v>
      </x:c>
      <x:c r="E65" s="29" t="n">
        <x:v>2</x:v>
      </x:c>
      <x:c r="F65" s="8" t="n">
        <x:v>2900</x:v>
      </x:c>
      <x:c r="G65" s="8" t="n">
        <x:v>174</x:v>
      </x:c>
      <x:c r="H65" s="8" t="n">
        <x:v>1700</x:v>
      </x:c>
      <x:c r="I65" s="2" t="str">
        <x:v>оплачен</x:v>
      </x:c>
      <x:c r="J65" s="8" t="n">
        <x:f>IF(I65="оплачен",E65*F65-G65,0)</x:f>
        <x:v>5626</x:v>
      </x:c>
      <x:c r="K65" s="8"/>
      <x:c r="L65" s="8" t="n">
        <x:f>J65-K65</x:f>
        <x:v>5626</x:v>
      </x:c>
      <x:c r="M65" s="2" t="str">
        <x:f>TEXT(B65,"yyyy-mm")</x:f>
        <x:v>2026-07</x:v>
      </x:c>
      <x:c r="N65" s="2"/>
      <x:c r="O65" s="2"/>
      <x:c r="P65" s="2"/>
    </x:row>
    <x:row r="66" ht="26" customHeight="1">
      <x:c r="A66" s="2" t="str">
        <x:v>O065</x:v>
      </x:c>
      <x:c r="B66" s="7" t="d">
        <x:v>2026-07-09T00:00:00.000Z</x:v>
      </x:c>
      <x:c r="C66" s="2" t="str">
        <x:v>Планер</x:v>
      </x:c>
      <x:c r="D66" s="2" t="str">
        <x:v>Маркетплейс</x:v>
      </x:c>
      <x:c r="E66" s="29" t="n">
        <x:v>4</x:v>
      </x:c>
      <x:c r="F66" s="8" t="n">
        <x:v>800</x:v>
      </x:c>
      <x:c r="G66" s="8" t="n">
        <x:v>384</x:v>
      </x:c>
      <x:c r="H66" s="8" t="n">
        <x:v>280</x:v>
      </x:c>
      <x:c r="I66" s="2" t="str">
        <x:v>оплачен</x:v>
      </x:c>
      <x:c r="J66" s="8" t="n">
        <x:f>IF(I66="оплачен",E66*F66-G66,0)</x:f>
        <x:v>2816</x:v>
      </x:c>
      <x:c r="K66" s="8"/>
      <x:c r="L66" s="8" t="n">
        <x:f>J66-K66</x:f>
        <x:v>2816</x:v>
      </x:c>
      <x:c r="M66" s="2" t="str">
        <x:f>TEXT(B66,"yyyy-mm")</x:f>
        <x:v>2026-07</x:v>
      </x:c>
      <x:c r="N66" s="2"/>
      <x:c r="O66" s="2"/>
      <x:c r="P66" s="2"/>
    </x:row>
    <x:row r="67" ht="26" customHeight="1">
      <x:c r="A67" s="2" t="str">
        <x:v>O066</x:v>
      </x:c>
      <x:c r="B67" s="7" t="d">
        <x:v>2026-07-10T00:00:00.000Z</x:v>
      </x:c>
      <x:c r="C67" s="2" t="str">
        <x:v>Настольная лампа</x:v>
      </x:c>
      <x:c r="D67" s="2" t="str">
        <x:v>Маркетплейс</x:v>
      </x:c>
      <x:c r="E67" s="29" t="n">
        <x:v>4</x:v>
      </x:c>
      <x:c r="F67" s="8" t="n">
        <x:v>2900</x:v>
      </x:c>
      <x:c r="G67" s="8" t="n">
        <x:v>1392</x:v>
      </x:c>
      <x:c r="H67" s="8" t="n">
        <x:v>1700</x:v>
      </x:c>
      <x:c r="I67" s="2" t="str">
        <x:v>отменён</x:v>
      </x:c>
      <x:c r="J67" s="8" t="n">
        <x:f>IF(I67="оплачен",E67*F67-G67,0)</x:f>
        <x:v>0</x:v>
      </x:c>
      <x:c r="K67" s="8"/>
      <x:c r="L67" s="8" t="n">
        <x:f>J67-K67</x:f>
        <x:v>0</x:v>
      </x:c>
      <x:c r="M67" s="2" t="str">
        <x:f>TEXT(B67,"yyyy-mm")</x:f>
        <x:v>2026-07</x:v>
      </x:c>
      <x:c r="N67" s="2"/>
      <x:c r="O67" s="2"/>
      <x:c r="P67" s="2"/>
    </x:row>
    <x:row r="68" ht="26" customHeight="1">
      <x:c r="A68" s="2" t="str">
        <x:v>O067</x:v>
      </x:c>
      <x:c r="B68" s="7" t="d">
        <x:v>2026-07-11T00:00:00.000Z</x:v>
      </x:c>
      <x:c r="C68" s="2" t="str">
        <x:v>Термокружка</x:v>
      </x:c>
      <x:c r="D68" s="2" t="str">
        <x:v>Маркетплейс</x:v>
      </x:c>
      <x:c r="E68" s="29" t="n">
        <x:v>1</x:v>
      </x:c>
      <x:c r="F68" s="8" t="n">
        <x:v>1600</x:v>
      </x:c>
      <x:c r="G68" s="8" t="n">
        <x:v>192</x:v>
      </x:c>
      <x:c r="H68" s="8" t="n">
        <x:v>650</x:v>
      </x:c>
      <x:c r="I68" s="2" t="str">
        <x:v>оплачен</x:v>
      </x:c>
      <x:c r="J68" s="8" t="n">
        <x:f>IF(I68="оплачен",E68*F68-G68,0)</x:f>
        <x:v>1408</x:v>
      </x:c>
      <x:c r="K68" s="8"/>
      <x:c r="L68" s="8" t="n">
        <x:f>J68-K68</x:f>
        <x:v>1408</x:v>
      </x:c>
      <x:c r="M68" s="2" t="str">
        <x:f>TEXT(B68,"yyyy-mm")</x:f>
        <x:v>2026-07</x:v>
      </x:c>
      <x:c r="N68" s="2"/>
      <x:c r="O68" s="2"/>
      <x:c r="P68" s="2"/>
    </x:row>
    <x:row r="69" ht="26" customHeight="1">
      <x:c r="A69" s="2" t="str">
        <x:v>O068</x:v>
      </x:c>
      <x:c r="B69" s="7" t="d">
        <x:v>2026-07-12T00:00:00.000Z</x:v>
      </x:c>
      <x:c r="C69" s="2" t="str">
        <x:v>Термокружка</x:v>
      </x:c>
      <x:c r="D69" s="2" t="str">
        <x:v>Соцсети</x:v>
      </x:c>
      <x:c r="E69" s="29" t="n">
        <x:v>4</x:v>
      </x:c>
      <x:c r="F69" s="8" t="n">
        <x:v>1600</x:v>
      </x:c>
      <x:c r="G69" s="8" t="n">
        <x:v>192</x:v>
      </x:c>
      <x:c r="H69" s="8" t="n">
        <x:v>650</x:v>
      </x:c>
      <x:c r="I69" s="2" t="str">
        <x:v>оплачен</x:v>
      </x:c>
      <x:c r="J69" s="8" t="n">
        <x:f>IF(I69="оплачен",E69*F69-G69,0)</x:f>
        <x:v>6208</x:v>
      </x:c>
      <x:c r="K69" s="8"/>
      <x:c r="L69" s="8" t="n">
        <x:f>J69-K69</x:f>
        <x:v>6208</x:v>
      </x:c>
      <x:c r="M69" s="2" t="str">
        <x:f>TEXT(B69,"yyyy-mm")</x:f>
        <x:v>2026-07</x:v>
      </x:c>
      <x:c r="N69" s="2"/>
      <x:c r="O69" s="2"/>
      <x:c r="P69" s="2"/>
    </x:row>
    <x:row r="70" ht="26" customHeight="1">
      <x:c r="A70" s="2" t="str">
        <x:v>O069</x:v>
      </x:c>
      <x:c r="B70" s="7" t="d">
        <x:v>2026-07-13T00:00:00.000Z</x:v>
      </x:c>
      <x:c r="C70" s="2" t="str">
        <x:v>Настольная лампа</x:v>
      </x:c>
      <x:c r="D70" s="2" t="str">
        <x:v>Соцсети</x:v>
      </x:c>
      <x:c r="E70" s="29" t="n">
        <x:v>1</x:v>
      </x:c>
      <x:c r="F70" s="8" t="n">
        <x:v>2900</x:v>
      </x:c>
      <x:c r="G70" s="8" t="n">
        <x:v>87</x:v>
      </x:c>
      <x:c r="H70" s="8" t="n">
        <x:v>1700</x:v>
      </x:c>
      <x:c r="I70" s="2" t="str">
        <x:v>возвращён</x:v>
      </x:c>
      <x:c r="J70" s="8" t="n">
        <x:f>IF(I70="оплачен",E70*F70-G70,0)</x:f>
        <x:v>0</x:v>
      </x:c>
      <x:c r="K70" s="8"/>
      <x:c r="L70" s="8" t="n">
        <x:f>J70-K70</x:f>
        <x:v>0</x:v>
      </x:c>
      <x:c r="M70" s="2" t="str">
        <x:f>TEXT(B70,"yyyy-mm")</x:f>
        <x:v>2026-07</x:v>
      </x:c>
      <x:c r="N70" s="2"/>
      <x:c r="O70" s="2"/>
      <x:c r="P70" s="2"/>
    </x:row>
    <x:row r="71" ht="26" customHeight="1">
      <x:c r="A71" s="2" t="str">
        <x:v>O070</x:v>
      </x:c>
      <x:c r="B71" s="7" t="d">
        <x:v>2026-07-14T00:00:00.000Z</x:v>
      </x:c>
      <x:c r="C71" s="2" t="str">
        <x:v>Настольная лампа</x:v>
      </x:c>
      <x:c r="D71" s="2" t="str">
        <x:v>Соцсети</x:v>
      </x:c>
      <x:c r="E71" s="29" t="n">
        <x:v>4</x:v>
      </x:c>
      <x:c r="F71" s="8" t="n">
        <x:v>2900</x:v>
      </x:c>
      <x:c r="G71" s="8" t="n">
        <x:v>348</x:v>
      </x:c>
      <x:c r="H71" s="8" t="n">
        <x:v>1700</x:v>
      </x:c>
      <x:c r="I71" s="2" t="str">
        <x:v>оплачен</x:v>
      </x:c>
      <x:c r="J71" s="8" t="n">
        <x:f>IF(I71="оплачен",E71*F71-G71,0)</x:f>
        <x:v>11252</x:v>
      </x:c>
      <x:c r="K71" s="8"/>
      <x:c r="L71" s="8" t="n">
        <x:f>J71-K71</x:f>
        <x:v>11252</x:v>
      </x:c>
      <x:c r="M71" s="2" t="str">
        <x:f>TEXT(B71,"yyyy-mm")</x:f>
        <x:v>2026-07</x:v>
      </x:c>
      <x:c r="N71" s="2"/>
      <x:c r="O71" s="2"/>
      <x:c r="P71" s="2"/>
    </x:row>
    <x:row r="72" ht="26" customHeight="1">
      <x:c r="A72" s="2" t="str">
        <x:v>O071</x:v>
      </x:c>
      <x:c r="B72" s="7" t="d">
        <x:v>2026-07-15T00:00:00.000Z</x:v>
      </x:c>
      <x:c r="C72" s="2" t="str">
        <x:v>Термокружка</x:v>
      </x:c>
      <x:c r="D72" s="2" t="str">
        <x:v>Соцсети</x:v>
      </x:c>
      <x:c r="E72" s="29" t="n">
        <x:v>1</x:v>
      </x:c>
      <x:c r="F72" s="8" t="n">
        <x:v>1600</x:v>
      </x:c>
      <x:c r="G72" s="8" t="n">
        <x:v>48</x:v>
      </x:c>
      <x:c r="H72" s="8" t="n">
        <x:v>650</x:v>
      </x:c>
      <x:c r="I72" s="2" t="str">
        <x:v>оплачен</x:v>
      </x:c>
      <x:c r="J72" s="8" t="n">
        <x:f>IF(I72="оплачен",E72*F72-G72,0)</x:f>
        <x:v>1552</x:v>
      </x:c>
      <x:c r="K72" s="8"/>
      <x:c r="L72" s="8" t="n">
        <x:f>J72-K72</x:f>
        <x:v>1552</x:v>
      </x:c>
      <x:c r="M72" s="2" t="str">
        <x:f>TEXT(B72,"yyyy-mm")</x:f>
        <x:v>2026-07</x:v>
      </x:c>
      <x:c r="N72" s="2"/>
      <x:c r="O72" s="2"/>
      <x:c r="P72" s="2"/>
    </x:row>
    <x:row r="73" ht="26" customHeight="1">
      <x:c r="A73" s="2" t="str">
        <x:v>O072</x:v>
      </x:c>
      <x:c r="B73" s="7" t="d">
        <x:v>2026-07-16T00:00:00.000Z</x:v>
      </x:c>
      <x:c r="C73" s="2" t="str">
        <x:v>Настольная лампа</x:v>
      </x:c>
      <x:c r="D73" s="2" t="str">
        <x:v>Сайт</x:v>
      </x:c>
      <x:c r="E73" s="29" t="n">
        <x:v>1</x:v>
      </x:c>
      <x:c r="F73" s="8" t="n">
        <x:v>2900</x:v>
      </x:c>
      <x:c r="G73" s="8" t="n">
        <x:v>87</x:v>
      </x:c>
      <x:c r="H73" s="8" t="n">
        <x:v>1700</x:v>
      </x:c>
      <x:c r="I73" s="2" t="str">
        <x:v>оплачен</x:v>
      </x:c>
      <x:c r="J73" s="8" t="n">
        <x:f>IF(I73="оплачен",E73*F73-G73,0)</x:f>
        <x:v>2813</x:v>
      </x:c>
      <x:c r="K73" s="8"/>
      <x:c r="L73" s="8" t="n">
        <x:f>J73-K73</x:f>
        <x:v>2813</x:v>
      </x:c>
      <x:c r="M73" s="2" t="str">
        <x:f>TEXT(B73,"yyyy-mm")</x:f>
        <x:v>2026-07</x:v>
      </x:c>
      <x:c r="N73" s="2"/>
      <x:c r="O73" s="2"/>
      <x:c r="P73" s="2"/>
    </x:row>
    <x:row r="74" ht="26" customHeight="1">
      <x:c r="A74" s="2" t="str">
        <x:v>O073</x:v>
      </x:c>
      <x:c r="B74" s="7" t="d">
        <x:v>2026-07-17T00:00:00.000Z</x:v>
      </x:c>
      <x:c r="C74" s="2" t="str">
        <x:v>Термокружка</x:v>
      </x:c>
      <x:c r="D74" s="2" t="str">
        <x:v>Соцсети</x:v>
      </x:c>
      <x:c r="E74" s="29" t="n">
        <x:v>3</x:v>
      </x:c>
      <x:c r="F74" s="8" t="n">
        <x:v>1600</x:v>
      </x:c>
      <x:c r="G74" s="8" t="n">
        <x:v>144</x:v>
      </x:c>
      <x:c r="H74" s="8" t="n">
        <x:v>650</x:v>
      </x:c>
      <x:c r="I74" s="2" t="str">
        <x:v>оплачен</x:v>
      </x:c>
      <x:c r="J74" s="8" t="n">
        <x:f>IF(I74="оплачен",E74*F74-G74,0)</x:f>
        <x:v>4656</x:v>
      </x:c>
      <x:c r="K74" s="8"/>
      <x:c r="L74" s="8" t="n">
        <x:f>J74-K74</x:f>
        <x:v>4656</x:v>
      </x:c>
      <x:c r="M74" s="2" t="str">
        <x:f>TEXT(B74,"yyyy-mm")</x:f>
        <x:v>2026-07</x:v>
      </x:c>
      <x:c r="N74" s="2"/>
      <x:c r="O74" s="2"/>
      <x:c r="P74" s="2"/>
    </x:row>
    <x:row r="75" ht="26" customHeight="1">
      <x:c r="A75" s="2" t="str">
        <x:v>O074</x:v>
      </x:c>
      <x:c r="B75" s="7" t="d">
        <x:v>2026-07-18T00:00:00.000Z</x:v>
      </x:c>
      <x:c r="C75" s="2" t="str">
        <x:v>Планер</x:v>
      </x:c>
      <x:c r="D75" s="2" t="str">
        <x:v>Сайт</x:v>
      </x:c>
      <x:c r="E75" s="29" t="n">
        <x:v>4</x:v>
      </x:c>
      <x:c r="F75" s="8" t="n">
        <x:v>800</x:v>
      </x:c>
      <x:c r="G75" s="8" t="n">
        <x:v>96</x:v>
      </x:c>
      <x:c r="H75" s="8" t="n">
        <x:v>280</x:v>
      </x:c>
      <x:c r="I75" s="2" t="str">
        <x:v>оплачен</x:v>
      </x:c>
      <x:c r="J75" s="8" t="n">
        <x:f>IF(I75="оплачен",E75*F75-G75,0)</x:f>
        <x:v>3104</x:v>
      </x:c>
      <x:c r="K75" s="8"/>
      <x:c r="L75" s="8" t="n">
        <x:f>J75-K75</x:f>
        <x:v>3104</x:v>
      </x:c>
      <x:c r="M75" s="2" t="str">
        <x:f>TEXT(B75,"yyyy-mm")</x:f>
        <x:v>2026-07</x:v>
      </x:c>
      <x:c r="N75" s="2"/>
      <x:c r="O75" s="2"/>
      <x:c r="P75" s="2"/>
    </x:row>
    <x:row r="76" ht="26" customHeight="1">
      <x:c r="A76" s="2" t="str">
        <x:v>O075</x:v>
      </x:c>
      <x:c r="B76" s="7" t="d">
        <x:v>2026-07-19T00:00:00.000Z</x:v>
      </x:c>
      <x:c r="C76" s="2" t="str">
        <x:v>Рюкзак</x:v>
      </x:c>
      <x:c r="D76" s="2" t="str">
        <x:v>Маркетплейс</x:v>
      </x:c>
      <x:c r="E76" s="29" t="n">
        <x:v>1</x:v>
      </x:c>
      <x:c r="F76" s="8" t="n">
        <x:v>3600</x:v>
      </x:c>
      <x:c r="G76" s="8" t="n">
        <x:v>432</x:v>
      </x:c>
      <x:c r="H76" s="8" t="n">
        <x:v>1900</x:v>
      </x:c>
      <x:c r="I76" s="2" t="str">
        <x:v>оплачен</x:v>
      </x:c>
      <x:c r="J76" s="8" t="n">
        <x:f>IF(I76="оплачен",E76*F76-G76,0)</x:f>
        <x:v>3168</x:v>
      </x:c>
      <x:c r="K76" s="8"/>
      <x:c r="L76" s="8" t="n">
        <x:f>J76-K76</x:f>
        <x:v>3168</x:v>
      </x:c>
      <x:c r="M76" s="2" t="str">
        <x:f>TEXT(B76,"yyyy-mm")</x:f>
        <x:v>2026-07</x:v>
      </x:c>
      <x:c r="N76" s="2"/>
      <x:c r="O76" s="2"/>
      <x:c r="P76" s="2"/>
    </x:row>
    <x:row r="77" ht="26" customHeight="1">
      <x:c r="A77" s="2" t="str">
        <x:v>O076</x:v>
      </x:c>
      <x:c r="B77" s="7" t="d">
        <x:v>2026-07-20T00:00:00.000Z</x:v>
      </x:c>
      <x:c r="C77" s="2" t="str">
        <x:v>Планер</x:v>
      </x:c>
      <x:c r="D77" s="2" t="str">
        <x:v>Маркетплейс</x:v>
      </x:c>
      <x:c r="E77" s="29" t="n">
        <x:v>4</x:v>
      </x:c>
      <x:c r="F77" s="8" t="n">
        <x:v>800</x:v>
      </x:c>
      <x:c r="G77" s="8" t="n">
        <x:v>384</x:v>
      </x:c>
      <x:c r="H77" s="8" t="n">
        <x:v>280</x:v>
      </x:c>
      <x:c r="I77" s="2" t="str">
        <x:v>оплачен</x:v>
      </x:c>
      <x:c r="J77" s="8" t="n">
        <x:f>IF(I77="оплачен",E77*F77-G77,0)</x:f>
        <x:v>2816</x:v>
      </x:c>
      <x:c r="K77" s="8"/>
      <x:c r="L77" s="8" t="n">
        <x:f>J77-K77</x:f>
        <x:v>2816</x:v>
      </x:c>
      <x:c r="M77" s="2" t="str">
        <x:f>TEXT(B77,"yyyy-mm")</x:f>
        <x:v>2026-07</x:v>
      </x:c>
      <x:c r="N77" s="2"/>
      <x:c r="O77" s="2"/>
      <x:c r="P77" s="2"/>
    </x:row>
    <x:row r="78" ht="26" customHeight="1">
      <x:c r="A78" s="2" t="str">
        <x:v>O077</x:v>
      </x:c>
      <x:c r="B78" s="7" t="d">
        <x:v>2026-07-21T00:00:00.000Z</x:v>
      </x:c>
      <x:c r="C78" s="2" t="str">
        <x:v>Планер</x:v>
      </x:c>
      <x:c r="D78" s="2" t="str">
        <x:v>Сайт</x:v>
      </x:c>
      <x:c r="E78" s="29" t="n">
        <x:v>2</x:v>
      </x:c>
      <x:c r="F78" s="8" t="n">
        <x:v>800</x:v>
      </x:c>
      <x:c r="G78" s="8" t="n">
        <x:v>48</x:v>
      </x:c>
      <x:c r="H78" s="8" t="n">
        <x:v>280</x:v>
      </x:c>
      <x:c r="I78" s="2" t="str">
        <x:v>оплачен</x:v>
      </x:c>
      <x:c r="J78" s="8" t="n">
        <x:f>IF(I78="оплачен",E78*F78-G78,0)</x:f>
        <x:v>1552</x:v>
      </x:c>
      <x:c r="K78" s="8"/>
      <x:c r="L78" s="8" t="n">
        <x:f>J78-K78</x:f>
        <x:v>1552</x:v>
      </x:c>
      <x:c r="M78" s="2" t="str">
        <x:f>TEXT(B78,"yyyy-mm")</x:f>
        <x:v>2026-07</x:v>
      </x:c>
      <x:c r="N78" s="2"/>
      <x:c r="O78" s="2"/>
      <x:c r="P78" s="2"/>
    </x:row>
    <x:row r="79" ht="26" customHeight="1">
      <x:c r="A79" s="2" t="str">
        <x:v>O078</x:v>
      </x:c>
      <x:c r="B79" s="7" t="d">
        <x:v>2026-07-22T00:00:00.000Z</x:v>
      </x:c>
      <x:c r="C79" s="2" t="str">
        <x:v>Настольная лампа</x:v>
      </x:c>
      <x:c r="D79" s="2" t="str">
        <x:v>Соцсети</x:v>
      </x:c>
      <x:c r="E79" s="29" t="n">
        <x:v>4</x:v>
      </x:c>
      <x:c r="F79" s="8" t="n">
        <x:v>2900</x:v>
      </x:c>
      <x:c r="G79" s="8" t="n">
        <x:v>348</x:v>
      </x:c>
      <x:c r="H79" s="8" t="n">
        <x:v>1700</x:v>
      </x:c>
      <x:c r="I79" s="2" t="str">
        <x:v>оплачен</x:v>
      </x:c>
      <x:c r="J79" s="8" t="n">
        <x:f>IF(I79="оплачен",E79*F79-G79,0)</x:f>
        <x:v>11252</x:v>
      </x:c>
      <x:c r="K79" s="8"/>
      <x:c r="L79" s="8" t="n">
        <x:f>J79-K79</x:f>
        <x:v>11252</x:v>
      </x:c>
      <x:c r="M79" s="2" t="str">
        <x:f>TEXT(B79,"yyyy-mm")</x:f>
        <x:v>2026-07</x:v>
      </x:c>
      <x:c r="N79" s="2"/>
      <x:c r="O79" s="2"/>
      <x:c r="P79" s="2"/>
    </x:row>
    <x:row r="80" ht="26" customHeight="1">
      <x:c r="A80" s="2" t="str">
        <x:v>O079</x:v>
      </x:c>
      <x:c r="B80" s="7" t="d">
        <x:v>2026-07-23T00:00:00.000Z</x:v>
      </x:c>
      <x:c r="C80" s="2" t="str">
        <x:v>Планер</x:v>
      </x:c>
      <x:c r="D80" s="2" t="str">
        <x:v>Маркетплейс</x:v>
      </x:c>
      <x:c r="E80" s="29" t="n">
        <x:v>4</x:v>
      </x:c>
      <x:c r="F80" s="8" t="n">
        <x:v>800</x:v>
      </x:c>
      <x:c r="G80" s="8" t="n">
        <x:v>384</x:v>
      </x:c>
      <x:c r="H80" s="8" t="n">
        <x:v>280</x:v>
      </x:c>
      <x:c r="I80" s="2" t="str">
        <x:v>отменён</x:v>
      </x:c>
      <x:c r="J80" s="8" t="n">
        <x:f>IF(I80="оплачен",E80*F80-G80,0)</x:f>
        <x:v>0</x:v>
      </x:c>
      <x:c r="K80" s="8"/>
      <x:c r="L80" s="8" t="n">
        <x:f>J80-K80</x:f>
        <x:v>0</x:v>
      </x:c>
      <x:c r="M80" s="2" t="str">
        <x:f>TEXT(B80,"yyyy-mm")</x:f>
        <x:v>2026-07</x:v>
      </x:c>
      <x:c r="N80" s="2"/>
      <x:c r="O80" s="2"/>
      <x:c r="P80" s="2"/>
    </x:row>
    <x:row r="81" ht="26" customHeight="1">
      <x:c r="A81" s="2" t="str">
        <x:v>O080</x:v>
      </x:c>
      <x:c r="B81" s="7" t="d">
        <x:v>2026-07-24T00:00:00.000Z</x:v>
      </x:c>
      <x:c r="C81" s="2" t="str">
        <x:v>Планер</x:v>
      </x:c>
      <x:c r="D81" s="2" t="str">
        <x:v>Маркетплейс</x:v>
      </x:c>
      <x:c r="E81" s="29" t="n">
        <x:v>1</x:v>
      </x:c>
      <x:c r="F81" s="8" t="n">
        <x:v>800</x:v>
      </x:c>
      <x:c r="G81" s="8" t="n">
        <x:v>96</x:v>
      </x:c>
      <x:c r="H81" s="8" t="n">
        <x:v>280</x:v>
      </x:c>
      <x:c r="I81" s="2" t="str">
        <x:v>оплачен</x:v>
      </x:c>
      <x:c r="J81" s="8" t="n">
        <x:f>IF(I81="оплачен",E81*F81-G81,0)</x:f>
        <x:v>704</x:v>
      </x:c>
      <x:c r="K81" s="8"/>
      <x:c r="L81" s="8" t="n">
        <x:f>J81-K81</x:f>
        <x:v>704</x:v>
      </x:c>
      <x:c r="M81" s="2" t="str">
        <x:f>TEXT(B81,"yyyy-mm")</x:f>
        <x:v>2026-07</x:v>
      </x:c>
      <x:c r="N81" s="2"/>
      <x:c r="O81" s="2"/>
      <x:c r="P81" s="2"/>
    </x:row>
    <x:row r="82" ht="26" customHeight="1">
      <x:c r="A82" s="2" t="str">
        <x:v>O081</x:v>
      </x:c>
      <x:c r="B82" s="7" t="d">
        <x:v>2026-08-25T00:00:00.000Z</x:v>
      </x:c>
      <x:c r="C82" s="2" t="str">
        <x:v>Термокружка</x:v>
      </x:c>
      <x:c r="D82" s="2" t="str">
        <x:v>Соцсети</x:v>
      </x:c>
      <x:c r="E82" s="29" t="n">
        <x:v>1</x:v>
      </x:c>
      <x:c r="F82" s="8" t="n">
        <x:v>1600</x:v>
      </x:c>
      <x:c r="G82" s="8" t="n">
        <x:v>48</x:v>
      </x:c>
      <x:c r="H82" s="8" t="n">
        <x:v>650</x:v>
      </x:c>
      <x:c r="I82" s="2" t="str">
        <x:v>оплачен</x:v>
      </x:c>
      <x:c r="J82" s="8" t="n">
        <x:f>IF(I82="оплачен",E82*F82-G82,0)</x:f>
        <x:v>1552</x:v>
      </x:c>
      <x:c r="K82" s="8"/>
      <x:c r="L82" s="8" t="n">
        <x:f>J82-K82</x:f>
        <x:v>1552</x:v>
      </x:c>
      <x:c r="M82" s="2" t="str">
        <x:f>TEXT(B82,"yyyy-mm")</x:f>
        <x:v>2026-08</x:v>
      </x:c>
      <x:c r="N82" s="2"/>
      <x:c r="O82" s="2"/>
      <x:c r="P82" s="2"/>
    </x:row>
    <x:row r="83" ht="26" customHeight="1">
      <x:c r="A83" s="2" t="str">
        <x:v>O082</x:v>
      </x:c>
      <x:c r="B83" s="7" t="d">
        <x:v>2026-08-26T00:00:00.000Z</x:v>
      </x:c>
      <x:c r="C83" s="2" t="str">
        <x:v>Термокружка</x:v>
      </x:c>
      <x:c r="D83" s="2" t="str">
        <x:v>Маркетплейс</x:v>
      </x:c>
      <x:c r="E83" s="29" t="n">
        <x:v>3</x:v>
      </x:c>
      <x:c r="F83" s="8" t="n">
        <x:v>1600</x:v>
      </x:c>
      <x:c r="G83" s="8" t="n">
        <x:v>576</x:v>
      </x:c>
      <x:c r="H83" s="8" t="n">
        <x:v>650</x:v>
      </x:c>
      <x:c r="I83" s="2" t="str">
        <x:v>оплачен</x:v>
      </x:c>
      <x:c r="J83" s="8" t="n">
        <x:f>IF(I83="оплачен",E83*F83-G83,0)</x:f>
        <x:v>4224</x:v>
      </x:c>
      <x:c r="K83" s="8"/>
      <x:c r="L83" s="8" t="n">
        <x:f>J83-K83</x:f>
        <x:v>4224</x:v>
      </x:c>
      <x:c r="M83" s="2" t="str">
        <x:f>TEXT(B83,"yyyy-mm")</x:f>
        <x:v>2026-08</x:v>
      </x:c>
      <x:c r="N83" s="2"/>
      <x:c r="O83" s="2"/>
      <x:c r="P83" s="2"/>
    </x:row>
    <x:row r="84" ht="26" customHeight="1">
      <x:c r="A84" s="2" t="str">
        <x:v>O083</x:v>
      </x:c>
      <x:c r="B84" s="7" t="d">
        <x:v>2026-08-27T00:00:00.000Z</x:v>
      </x:c>
      <x:c r="C84" s="2" t="str">
        <x:v>Планер</x:v>
      </x:c>
      <x:c r="D84" s="2" t="str">
        <x:v>Сайт</x:v>
      </x:c>
      <x:c r="E84" s="29" t="n">
        <x:v>1</x:v>
      </x:c>
      <x:c r="F84" s="8" t="n">
        <x:v>800</x:v>
      </x:c>
      <x:c r="G84" s="8" t="n">
        <x:v>24</x:v>
      </x:c>
      <x:c r="H84" s="8" t="n">
        <x:v>280</x:v>
      </x:c>
      <x:c r="I84" s="2" t="str">
        <x:v>оплачен</x:v>
      </x:c>
      <x:c r="J84" s="8" t="n">
        <x:f>IF(I84="оплачен",E84*F84-G84,0)</x:f>
        <x:v>776</x:v>
      </x:c>
      <x:c r="K84" s="8"/>
      <x:c r="L84" s="8" t="n">
        <x:f>J84-K84</x:f>
        <x:v>776</x:v>
      </x:c>
      <x:c r="M84" s="2" t="str">
        <x:f>TEXT(B84,"yyyy-mm")</x:f>
        <x:v>2026-08</x:v>
      </x:c>
      <x:c r="N84" s="2"/>
      <x:c r="O84" s="2"/>
      <x:c r="P84" s="2"/>
    </x:row>
    <x:row r="85" ht="26" customHeight="1">
      <x:c r="A85" s="2" t="str">
        <x:v>O084</x:v>
      </x:c>
      <x:c r="B85" s="7" t="d">
        <x:v>2026-08-28T00:00:00.000Z</x:v>
      </x:c>
      <x:c r="C85" s="2" t="str">
        <x:v>Планер</x:v>
      </x:c>
      <x:c r="D85" s="2" t="str">
        <x:v>Сайт</x:v>
      </x:c>
      <x:c r="E85" s="29" t="n">
        <x:v>1</x:v>
      </x:c>
      <x:c r="F85" s="8" t="n">
        <x:v>800</x:v>
      </x:c>
      <x:c r="G85" s="8" t="n">
        <x:v>24</x:v>
      </x:c>
      <x:c r="H85" s="8" t="n">
        <x:v>280</x:v>
      </x:c>
      <x:c r="I85" s="2" t="str">
        <x:v>оплачен</x:v>
      </x:c>
      <x:c r="J85" s="8" t="n">
        <x:f>IF(I85="оплачен",E85*F85-G85,0)</x:f>
        <x:v>776</x:v>
      </x:c>
      <x:c r="K85" s="8"/>
      <x:c r="L85" s="8" t="n">
        <x:f>J85-K85</x:f>
        <x:v>776</x:v>
      </x:c>
      <x:c r="M85" s="2" t="str">
        <x:f>TEXT(B85,"yyyy-mm")</x:f>
        <x:v>2026-08</x:v>
      </x:c>
      <x:c r="N85" s="2"/>
      <x:c r="O85" s="2"/>
      <x:c r="P85" s="2"/>
    </x:row>
    <x:row r="86" ht="26" customHeight="1">
      <x:c r="A86" s="2" t="str">
        <x:v>O085</x:v>
      </x:c>
      <x:c r="B86" s="7" t="d">
        <x:v>2026-08-01T00:00:00.000Z</x:v>
      </x:c>
      <x:c r="C86" s="2" t="str">
        <x:v>Термокружка</x:v>
      </x:c>
      <x:c r="D86" s="2" t="str">
        <x:v>Маркетплейс</x:v>
      </x:c>
      <x:c r="E86" s="29" t="n">
        <x:v>1</x:v>
      </x:c>
      <x:c r="F86" s="8" t="n">
        <x:v>1600</x:v>
      </x:c>
      <x:c r="G86" s="8" t="n">
        <x:v>192</x:v>
      </x:c>
      <x:c r="H86" s="8" t="n">
        <x:v>650</x:v>
      </x:c>
      <x:c r="I86" s="2" t="str">
        <x:v>оплачен</x:v>
      </x:c>
      <x:c r="J86" s="8" t="n">
        <x:f>IF(I86="оплачен",E86*F86-G86,0)</x:f>
        <x:v>1408</x:v>
      </x:c>
      <x:c r="K86" s="8"/>
      <x:c r="L86" s="8" t="n">
        <x:f>J86-K86</x:f>
        <x:v>1408</x:v>
      </x:c>
      <x:c r="M86" s="2" t="str">
        <x:f>TEXT(B86,"yyyy-mm")</x:f>
        <x:v>2026-08</x:v>
      </x:c>
      <x:c r="N86" s="2"/>
      <x:c r="O86" s="2"/>
      <x:c r="P86" s="2"/>
    </x:row>
    <x:row r="87" ht="26" customHeight="1">
      <x:c r="A87" s="2" t="str">
        <x:v>O086</x:v>
      </x:c>
      <x:c r="B87" s="7" t="d">
        <x:v>2026-08-02T00:00:00.000Z</x:v>
      </x:c>
      <x:c r="C87" s="2" t="str">
        <x:v>Настольная лампа</x:v>
      </x:c>
      <x:c r="D87" s="2" t="str">
        <x:v>Маркетплейс</x:v>
      </x:c>
      <x:c r="E87" s="29" t="n">
        <x:v>1</x:v>
      </x:c>
      <x:c r="F87" s="8" t="n">
        <x:v>2900</x:v>
      </x:c>
      <x:c r="G87" s="8" t="n">
        <x:v>348</x:v>
      </x:c>
      <x:c r="H87" s="8" t="n">
        <x:v>1700</x:v>
      </x:c>
      <x:c r="I87" s="2" t="str">
        <x:v>возвращён</x:v>
      </x:c>
      <x:c r="J87" s="8" t="n">
        <x:f>IF(I87="оплачен",E87*F87-G87,0)</x:f>
        <x:v>0</x:v>
      </x:c>
      <x:c r="K87" s="8"/>
      <x:c r="L87" s="8" t="n">
        <x:f>J87-K87</x:f>
        <x:v>0</x:v>
      </x:c>
      <x:c r="M87" s="2" t="str">
        <x:f>TEXT(B87,"yyyy-mm")</x:f>
        <x:v>2026-08</x:v>
      </x:c>
      <x:c r="N87" s="2"/>
      <x:c r="O87" s="2"/>
      <x:c r="P87" s="2"/>
    </x:row>
    <x:row r="88" ht="26" customHeight="1">
      <x:c r="A88" s="2" t="str">
        <x:v>O087</x:v>
      </x:c>
      <x:c r="B88" s="7" t="d">
        <x:v>2026-08-03T00:00:00.000Z</x:v>
      </x:c>
      <x:c r="C88" s="2" t="str">
        <x:v>Термокружка</x:v>
      </x:c>
      <x:c r="D88" s="2" t="str">
        <x:v>Маркетплейс</x:v>
      </x:c>
      <x:c r="E88" s="29" t="n">
        <x:v>1</x:v>
      </x:c>
      <x:c r="F88" s="8" t="n">
        <x:v>1600</x:v>
      </x:c>
      <x:c r="G88" s="8" t="n">
        <x:v>192</x:v>
      </x:c>
      <x:c r="H88" s="8" t="n">
        <x:v>650</x:v>
      </x:c>
      <x:c r="I88" s="2" t="str">
        <x:v>оплачен</x:v>
      </x:c>
      <x:c r="J88" s="8" t="n">
        <x:f>IF(I88="оплачен",E88*F88-G88,0)</x:f>
        <x:v>1408</x:v>
      </x:c>
      <x:c r="K88" s="8"/>
      <x:c r="L88" s="8" t="n">
        <x:f>J88-K88</x:f>
        <x:v>1408</x:v>
      </x:c>
      <x:c r="M88" s="2" t="str">
        <x:f>TEXT(B88,"yyyy-mm")</x:f>
        <x:v>2026-08</x:v>
      </x:c>
      <x:c r="N88" s="2"/>
      <x:c r="O88" s="2"/>
      <x:c r="P88" s="2"/>
    </x:row>
    <x:row r="89" ht="26" customHeight="1">
      <x:c r="A89" s="2" t="str">
        <x:v>O088</x:v>
      </x:c>
      <x:c r="B89" s="7" t="d">
        <x:v>2026-08-04T00:00:00.000Z</x:v>
      </x:c>
      <x:c r="C89" s="2" t="str">
        <x:v>Планер</x:v>
      </x:c>
      <x:c r="D89" s="2" t="str">
        <x:v>Соцсети</x:v>
      </x:c>
      <x:c r="E89" s="29" t="n">
        <x:v>4</x:v>
      </x:c>
      <x:c r="F89" s="8" t="n">
        <x:v>800</x:v>
      </x:c>
      <x:c r="G89" s="8" t="n">
        <x:v>96</x:v>
      </x:c>
      <x:c r="H89" s="8" t="n">
        <x:v>280</x:v>
      </x:c>
      <x:c r="I89" s="2" t="str">
        <x:v>оплачен</x:v>
      </x:c>
      <x:c r="J89" s="8" t="n">
        <x:f>IF(I89="оплачен",E89*F89-G89,0)</x:f>
        <x:v>3104</x:v>
      </x:c>
      <x:c r="K89" s="8"/>
      <x:c r="L89" s="8" t="n">
        <x:f>J89-K89</x:f>
        <x:v>3104</x:v>
      </x:c>
      <x:c r="M89" s="2" t="str">
        <x:f>TEXT(B89,"yyyy-mm")</x:f>
        <x:v>2026-08</x:v>
      </x:c>
      <x:c r="N89" s="2"/>
      <x:c r="O89" s="2"/>
      <x:c r="P89" s="2"/>
    </x:row>
    <x:row r="90" ht="26" customHeight="1">
      <x:c r="A90" s="2" t="str">
        <x:v>O089</x:v>
      </x:c>
      <x:c r="B90" s="7" t="d">
        <x:v>2026-08-05T00:00:00.000Z</x:v>
      </x:c>
      <x:c r="C90" s="2" t="str">
        <x:v>Планер</x:v>
      </x:c>
      <x:c r="D90" s="2" t="str">
        <x:v>Маркетплейс</x:v>
      </x:c>
      <x:c r="E90" s="29" t="n">
        <x:v>1</x:v>
      </x:c>
      <x:c r="F90" s="8" t="n">
        <x:v>800</x:v>
      </x:c>
      <x:c r="G90" s="8" t="n">
        <x:v>96</x:v>
      </x:c>
      <x:c r="H90" s="8" t="n">
        <x:v>280</x:v>
      </x:c>
      <x:c r="I90" s="2" t="str">
        <x:v>оплачен</x:v>
      </x:c>
      <x:c r="J90" s="8" t="n">
        <x:f>IF(I90="оплачен",E90*F90-G90,0)</x:f>
        <x:v>704</x:v>
      </x:c>
      <x:c r="K90" s="8"/>
      <x:c r="L90" s="8" t="n">
        <x:f>J90-K90</x:f>
        <x:v>704</x:v>
      </x:c>
      <x:c r="M90" s="2" t="str">
        <x:f>TEXT(B90,"yyyy-mm")</x:f>
        <x:v>2026-08</x:v>
      </x:c>
      <x:c r="N90" s="2"/>
      <x:c r="O90" s="2"/>
      <x:c r="P90" s="2"/>
    </x:row>
    <x:row r="91" ht="26" customHeight="1">
      <x:c r="A91" s="2" t="str">
        <x:v>O090</x:v>
      </x:c>
      <x:c r="B91" s="7" t="d">
        <x:v>2026-08-06T00:00:00.000Z</x:v>
      </x:c>
      <x:c r="C91" s="2" t="str">
        <x:v>Настольная лампа</x:v>
      </x:c>
      <x:c r="D91" s="2" t="str">
        <x:v>Маркетплейс</x:v>
      </x:c>
      <x:c r="E91" s="29" t="n">
        <x:v>3</x:v>
      </x:c>
      <x:c r="F91" s="8" t="n">
        <x:v>2900</x:v>
      </x:c>
      <x:c r="G91" s="8" t="n">
        <x:v>1044</x:v>
      </x:c>
      <x:c r="H91" s="8" t="n">
        <x:v>1700</x:v>
      </x:c>
      <x:c r="I91" s="2" t="str">
        <x:v>оплачен</x:v>
      </x:c>
      <x:c r="J91" s="8" t="n">
        <x:f>IF(I91="оплачен",E91*F91-G91,0)</x:f>
        <x:v>7656</x:v>
      </x:c>
      <x:c r="K91" s="8"/>
      <x:c r="L91" s="8" t="n">
        <x:f>J91-K91</x:f>
        <x:v>7656</x:v>
      </x:c>
      <x:c r="M91" s="2" t="str">
        <x:f>TEXT(B91,"yyyy-mm")</x:f>
        <x:v>2026-08</x:v>
      </x:c>
      <x:c r="N91" s="2"/>
      <x:c r="O91" s="2"/>
      <x:c r="P91" s="2"/>
    </x:row>
    <x:row r="92" ht="26" customHeight="1">
      <x:c r="A92" s="2" t="str">
        <x:v>O091</x:v>
      </x:c>
      <x:c r="B92" s="7" t="d">
        <x:v>2026-08-07T00:00:00.000Z</x:v>
      </x:c>
      <x:c r="C92" s="2" t="str">
        <x:v>Рюкзак</x:v>
      </x:c>
      <x:c r="D92" s="2" t="str">
        <x:v>Сайт</x:v>
      </x:c>
      <x:c r="E92" s="29" t="n">
        <x:v>3</x:v>
      </x:c>
      <x:c r="F92" s="8" t="n">
        <x:v>3600</x:v>
      </x:c>
      <x:c r="G92" s="8" t="n">
        <x:v>324</x:v>
      </x:c>
      <x:c r="H92" s="8" t="n">
        <x:v>1900</x:v>
      </x:c>
      <x:c r="I92" s="2" t="str">
        <x:v>оплачен</x:v>
      </x:c>
      <x:c r="J92" s="8" t="n">
        <x:f>IF(I92="оплачен",E92*F92-G92,0)</x:f>
        <x:v>10476</x:v>
      </x:c>
      <x:c r="K92" s="8"/>
      <x:c r="L92" s="8" t="n">
        <x:f>J92-K92</x:f>
        <x:v>10476</x:v>
      </x:c>
      <x:c r="M92" s="2" t="str">
        <x:f>TEXT(B92,"yyyy-mm")</x:f>
        <x:v>2026-08</x:v>
      </x:c>
      <x:c r="N92" s="2"/>
      <x:c r="O92" s="2"/>
      <x:c r="P92" s="2"/>
    </x:row>
    <x:row r="93" ht="26" customHeight="1">
      <x:c r="A93" s="2" t="str">
        <x:v>O092</x:v>
      </x:c>
      <x:c r="B93" s="7" t="d">
        <x:v>2026-08-08T00:00:00.000Z</x:v>
      </x:c>
      <x:c r="C93" s="2" t="str">
        <x:v>Настольная лампа</x:v>
      </x:c>
      <x:c r="D93" s="2" t="str">
        <x:v>Маркетплейс</x:v>
      </x:c>
      <x:c r="E93" s="29" t="n">
        <x:v>3</x:v>
      </x:c>
      <x:c r="F93" s="8" t="n">
        <x:v>2900</x:v>
      </x:c>
      <x:c r="G93" s="8" t="n">
        <x:v>1044</x:v>
      </x:c>
      <x:c r="H93" s="8" t="n">
        <x:v>1700</x:v>
      </x:c>
      <x:c r="I93" s="2" t="str">
        <x:v>отменён</x:v>
      </x:c>
      <x:c r="J93" s="8" t="n">
        <x:f>IF(I93="оплачен",E93*F93-G93,0)</x:f>
        <x:v>0</x:v>
      </x:c>
      <x:c r="K93" s="8"/>
      <x:c r="L93" s="8" t="n">
        <x:f>J93-K93</x:f>
        <x:v>0</x:v>
      </x:c>
      <x:c r="M93" s="2" t="str">
        <x:f>TEXT(B93,"yyyy-mm")</x:f>
        <x:v>2026-08</x:v>
      </x:c>
      <x:c r="N93" s="2"/>
      <x:c r="O93" s="2"/>
      <x:c r="P93" s="2"/>
    </x:row>
    <x:row r="94" ht="26" customHeight="1">
      <x:c r="A94" s="2" t="str">
        <x:v>O093</x:v>
      </x:c>
      <x:c r="B94" s="7" t="d">
        <x:v>2026-08-09T00:00:00.000Z</x:v>
      </x:c>
      <x:c r="C94" s="2" t="str">
        <x:v>Рюкзак</x:v>
      </x:c>
      <x:c r="D94" s="2" t="str">
        <x:v>Соцсети</x:v>
      </x:c>
      <x:c r="E94" s="29" t="n">
        <x:v>4</x:v>
      </x:c>
      <x:c r="F94" s="8" t="n">
        <x:v>3600</x:v>
      </x:c>
      <x:c r="G94" s="8" t="n">
        <x:v>432</x:v>
      </x:c>
      <x:c r="H94" s="8" t="n">
        <x:v>1900</x:v>
      </x:c>
      <x:c r="I94" s="2" t="str">
        <x:v>оплачен</x:v>
      </x:c>
      <x:c r="J94" s="8" t="n">
        <x:f>IF(I94="оплачен",E94*F94-G94,0)</x:f>
        <x:v>13968</x:v>
      </x:c>
      <x:c r="K94" s="8"/>
      <x:c r="L94" s="8" t="n">
        <x:f>J94-K94</x:f>
        <x:v>13968</x:v>
      </x:c>
      <x:c r="M94" s="2" t="str">
        <x:f>TEXT(B94,"yyyy-mm")</x:f>
        <x:v>2026-08</x:v>
      </x:c>
      <x:c r="N94" s="2"/>
      <x:c r="O94" s="2"/>
      <x:c r="P94" s="2"/>
    </x:row>
    <x:row r="95" ht="26" customHeight="1">
      <x:c r="A95" s="2" t="str">
        <x:v>O094</x:v>
      </x:c>
      <x:c r="B95" s="7" t="d">
        <x:v>2026-08-10T00:00:00.000Z</x:v>
      </x:c>
      <x:c r="C95" s="2" t="str">
        <x:v>Термокружка</x:v>
      </x:c>
      <x:c r="D95" s="2" t="str">
        <x:v>Соцсети</x:v>
      </x:c>
      <x:c r="E95" s="29" t="n">
        <x:v>1</x:v>
      </x:c>
      <x:c r="F95" s="8" t="n">
        <x:v>1600</x:v>
      </x:c>
      <x:c r="G95" s="8" t="n">
        <x:v>48</x:v>
      </x:c>
      <x:c r="H95" s="8" t="n">
        <x:v>650</x:v>
      </x:c>
      <x:c r="I95" s="2" t="str">
        <x:v>оплачен</x:v>
      </x:c>
      <x:c r="J95" s="8" t="n">
        <x:f>IF(I95="оплачен",E95*F95-G95,0)</x:f>
        <x:v>1552</x:v>
      </x:c>
      <x:c r="K95" s="8"/>
      <x:c r="L95" s="8" t="n">
        <x:f>J95-K95</x:f>
        <x:v>1552</x:v>
      </x:c>
      <x:c r="M95" s="2" t="str">
        <x:f>TEXT(B95,"yyyy-mm")</x:f>
        <x:v>2026-08</x:v>
      </x:c>
      <x:c r="N95" s="2"/>
      <x:c r="O95" s="2"/>
      <x:c r="P95" s="2"/>
    </x:row>
    <x:row r="96" ht="26" customHeight="1">
      <x:c r="A96" s="2" t="str">
        <x:v>O095</x:v>
      </x:c>
      <x:c r="B96" s="7" t="d">
        <x:v>2026-08-11T00:00:00.000Z</x:v>
      </x:c>
      <x:c r="C96" s="2" t="str">
        <x:v>Рюкзак</x:v>
      </x:c>
      <x:c r="D96" s="2" t="str">
        <x:v>Маркетплейс</x:v>
      </x:c>
      <x:c r="E96" s="29" t="n">
        <x:v>2</x:v>
      </x:c>
      <x:c r="F96" s="8" t="n">
        <x:v>3600</x:v>
      </x:c>
      <x:c r="G96" s="8" t="n">
        <x:v>864</x:v>
      </x:c>
      <x:c r="H96" s="8" t="n">
        <x:v>1900</x:v>
      </x:c>
      <x:c r="I96" s="2" t="str">
        <x:v>оплачен</x:v>
      </x:c>
      <x:c r="J96" s="8" t="n">
        <x:f>IF(I96="оплачен",E96*F96-G96,0)</x:f>
        <x:v>6336</x:v>
      </x:c>
      <x:c r="K96" s="8"/>
      <x:c r="L96" s="8" t="n">
        <x:f>J96-K96</x:f>
        <x:v>6336</x:v>
      </x:c>
      <x:c r="M96" s="2" t="str">
        <x:f>TEXT(B96,"yyyy-mm")</x:f>
        <x:v>2026-08</x:v>
      </x:c>
      <x:c r="N96" s="2"/>
      <x:c r="O96" s="2"/>
      <x:c r="P96" s="2"/>
    </x:row>
    <x:row r="97" ht="26" customHeight="1">
      <x:c r="A97" s="2" t="str">
        <x:v>O096</x:v>
      </x:c>
      <x:c r="B97" s="7" t="d">
        <x:v>2026-08-12T00:00:00.000Z</x:v>
      </x:c>
      <x:c r="C97" s="2" t="str">
        <x:v>Рюкзак</x:v>
      </x:c>
      <x:c r="D97" s="2" t="str">
        <x:v>Соцсети</x:v>
      </x:c>
      <x:c r="E97" s="29" t="n">
        <x:v>1</x:v>
      </x:c>
      <x:c r="F97" s="8" t="n">
        <x:v>3600</x:v>
      </x:c>
      <x:c r="G97" s="8" t="n">
        <x:v>108</x:v>
      </x:c>
      <x:c r="H97" s="8" t="n">
        <x:v>1900</x:v>
      </x:c>
      <x:c r="I97" s="2" t="str">
        <x:v>оплачен</x:v>
      </x:c>
      <x:c r="J97" s="8" t="n">
        <x:f>IF(I97="оплачен",E97*F97-G97,0)</x:f>
        <x:v>3492</x:v>
      </x:c>
      <x:c r="K97" s="8"/>
      <x:c r="L97" s="8" t="n">
        <x:f>J97-K97</x:f>
        <x:v>3492</x:v>
      </x:c>
      <x:c r="M97" s="2" t="str">
        <x:f>TEXT(B97,"yyyy-mm")</x:f>
        <x:v>2026-08</x:v>
      </x:c>
      <x:c r="N97" s="2"/>
      <x:c r="O97" s="2"/>
      <x:c r="P97" s="2"/>
    </x:row>
    <x:row r="98" ht="26" customHeight="1">
      <x:c r="A98" s="2" t="str">
        <x:v>O097</x:v>
      </x:c>
      <x:c r="B98" s="7" t="d">
        <x:v>2026-08-13T00:00:00.000Z</x:v>
      </x:c>
      <x:c r="C98" s="2" t="str">
        <x:v>Термокружка</x:v>
      </x:c>
      <x:c r="D98" s="2" t="str">
        <x:v>Маркетплейс</x:v>
      </x:c>
      <x:c r="E98" s="29" t="n">
        <x:v>2</x:v>
      </x:c>
      <x:c r="F98" s="8" t="n">
        <x:v>1600</x:v>
      </x:c>
      <x:c r="G98" s="8" t="n">
        <x:v>384</x:v>
      </x:c>
      <x:c r="H98" s="8" t="n">
        <x:v>650</x:v>
      </x:c>
      <x:c r="I98" s="2" t="str">
        <x:v>оплачен</x:v>
      </x:c>
      <x:c r="J98" s="8" t="n">
        <x:f>IF(I98="оплачен",E98*F98-G98,0)</x:f>
        <x:v>2816</x:v>
      </x:c>
      <x:c r="K98" s="8"/>
      <x:c r="L98" s="8" t="n">
        <x:f>J98-K98</x:f>
        <x:v>2816</x:v>
      </x:c>
      <x:c r="M98" s="2" t="str">
        <x:f>TEXT(B98,"yyyy-mm")</x:f>
        <x:v>2026-08</x:v>
      </x:c>
      <x:c r="N98" s="2"/>
      <x:c r="O98" s="2"/>
      <x:c r="P98" s="2"/>
    </x:row>
    <x:row r="99" ht="26" customHeight="1">
      <x:c r="A99" s="2" t="str">
        <x:v>O098</x:v>
      </x:c>
      <x:c r="B99" s="7" t="d">
        <x:v>2026-08-14T00:00:00.000Z</x:v>
      </x:c>
      <x:c r="C99" s="2" t="str">
        <x:v>Планер</x:v>
      </x:c>
      <x:c r="D99" s="2" t="str">
        <x:v>Соцсети</x:v>
      </x:c>
      <x:c r="E99" s="29" t="n">
        <x:v>1</x:v>
      </x:c>
      <x:c r="F99" s="8" t="n">
        <x:v>800</x:v>
      </x:c>
      <x:c r="G99" s="8" t="n">
        <x:v>24</x:v>
      </x:c>
      <x:c r="H99" s="8" t="n">
        <x:v>280</x:v>
      </x:c>
      <x:c r="I99" s="2" t="str">
        <x:v>оплачен</x:v>
      </x:c>
      <x:c r="J99" s="8" t="n">
        <x:f>IF(I99="оплачен",E99*F99-G99,0)</x:f>
        <x:v>776</x:v>
      </x:c>
      <x:c r="K99" s="8"/>
      <x:c r="L99" s="8" t="n">
        <x:f>J99-K99</x:f>
        <x:v>776</x:v>
      </x:c>
      <x:c r="M99" s="2" t="str">
        <x:f>TEXT(B99,"yyyy-mm")</x:f>
        <x:v>2026-08</x:v>
      </x:c>
      <x:c r="N99" s="2"/>
      <x:c r="O99" s="2"/>
      <x:c r="P99" s="2"/>
    </x:row>
    <x:row r="100" ht="26" customHeight="1">
      <x:c r="A100" s="2" t="str">
        <x:v>O099</x:v>
      </x:c>
      <x:c r="B100" s="7" t="d">
        <x:v>2026-08-15T00:00:00.000Z</x:v>
      </x:c>
      <x:c r="C100" s="2" t="str">
        <x:v>Планер</x:v>
      </x:c>
      <x:c r="D100" s="2" t="str">
        <x:v>Соцсети</x:v>
      </x:c>
      <x:c r="E100" s="29" t="n">
        <x:v>4</x:v>
      </x:c>
      <x:c r="F100" s="8" t="n">
        <x:v>800</x:v>
      </x:c>
      <x:c r="G100" s="8" t="n">
        <x:v>96</x:v>
      </x:c>
      <x:c r="H100" s="8" t="n">
        <x:v>280</x:v>
      </x:c>
      <x:c r="I100" s="2" t="str">
        <x:v>оплачен</x:v>
      </x:c>
      <x:c r="J100" s="8" t="n">
        <x:f>IF(I100="оплачен",E100*F100-G100,0)</x:f>
        <x:v>3104</x:v>
      </x:c>
      <x:c r="K100" s="8"/>
      <x:c r="L100" s="8" t="n">
        <x:f>J100-K100</x:f>
        <x:v>3104</x:v>
      </x:c>
      <x:c r="M100" s="2" t="str">
        <x:f>TEXT(B100,"yyyy-mm")</x:f>
        <x:v>2026-08</x:v>
      </x:c>
      <x:c r="N100" s="2"/>
      <x:c r="O100" s="2"/>
      <x:c r="P100" s="2"/>
    </x:row>
    <x:row r="101" ht="26" customHeight="1">
      <x:c r="A101" s="2" t="str">
        <x:v>O100</x:v>
      </x:c>
      <x:c r="B101" s="7" t="d">
        <x:v>2026-08-16T00:00:00.000Z</x:v>
      </x:c>
      <x:c r="C101" s="2" t="str">
        <x:v>Рюкзак</x:v>
      </x:c>
      <x:c r="D101" s="2" t="str">
        <x:v>Маркетплейс</x:v>
      </x:c>
      <x:c r="E101" s="29" t="n">
        <x:v>3</x:v>
      </x:c>
      <x:c r="F101" s="8" t="n">
        <x:v>3600</x:v>
      </x:c>
      <x:c r="G101" s="8" t="n">
        <x:v>1296</x:v>
      </x:c>
      <x:c r="H101" s="8" t="n">
        <x:v>1900</x:v>
      </x:c>
      <x:c r="I101" s="2" t="str">
        <x:v>оплачен</x:v>
      </x:c>
      <x:c r="J101" s="8" t="n">
        <x:f>IF(I101="оплачен",E101*F101-G101,0)</x:f>
        <x:v>9504</x:v>
      </x:c>
      <x:c r="K101" s="8"/>
      <x:c r="L101" s="8" t="n">
        <x:f>J101-K101</x:f>
        <x:v>9504</x:v>
      </x:c>
      <x:c r="M101" s="2" t="str">
        <x:f>TEXT(B101,"yyyy-mm")</x:f>
        <x:v>2026-08</x:v>
      </x:c>
      <x:c r="N101" s="2"/>
      <x:c r="O101" s="2"/>
      <x:c r="P101" s="2"/>
    </x:row>
    <x:row r="102" ht="26" customHeight="1">
      <x:c r="A102" s="2" t="str">
        <x:v>O101</x:v>
      </x:c>
      <x:c r="B102" s="7" t="d">
        <x:v>2026-08-17T00:00:00.000Z</x:v>
      </x:c>
      <x:c r="C102" s="2" t="str">
        <x:v>Планер</x:v>
      </x:c>
      <x:c r="D102" s="2" t="str">
        <x:v>Сайт</x:v>
      </x:c>
      <x:c r="E102" s="29" t="n">
        <x:v>1</x:v>
      </x:c>
      <x:c r="F102" s="8" t="n">
        <x:v>800</x:v>
      </x:c>
      <x:c r="G102" s="8" t="n">
        <x:v>24</x:v>
      </x:c>
      <x:c r="H102" s="8" t="n">
        <x:v>280</x:v>
      </x:c>
      <x:c r="I102" s="2" t="str">
        <x:v>оплачен</x:v>
      </x:c>
      <x:c r="J102" s="8" t="n">
        <x:f>IF(I102="оплачен",E102*F102-G102,0)</x:f>
        <x:v>776</x:v>
      </x:c>
      <x:c r="K102" s="8"/>
      <x:c r="L102" s="8" t="n">
        <x:f>J102-K102</x:f>
        <x:v>776</x:v>
      </x:c>
      <x:c r="M102" s="2" t="str">
        <x:f>TEXT(B102,"yyyy-mm")</x:f>
        <x:v>2026-08</x:v>
      </x:c>
      <x:c r="N102" s="2"/>
      <x:c r="O102" s="2"/>
      <x:c r="P102" s="2"/>
    </x:row>
    <x:row r="103" ht="26" customHeight="1">
      <x:c r="A103" s="2" t="str">
        <x:v>O102</x:v>
      </x:c>
      <x:c r="B103" s="7" t="d">
        <x:v>2026-08-18T00:00:00.000Z</x:v>
      </x:c>
      <x:c r="C103" s="2" t="str">
        <x:v>Настольная лампа</x:v>
      </x:c>
      <x:c r="D103" s="2" t="str">
        <x:v>Маркетплейс</x:v>
      </x:c>
      <x:c r="E103" s="29" t="n">
        <x:v>2</x:v>
      </x:c>
      <x:c r="F103" s="8" t="n">
        <x:v>2900</x:v>
      </x:c>
      <x:c r="G103" s="8" t="n">
        <x:v>696</x:v>
      </x:c>
      <x:c r="H103" s="8" t="n">
        <x:v>1700</x:v>
      </x:c>
      <x:c r="I103" s="2" t="str">
        <x:v>оплачен</x:v>
      </x:c>
      <x:c r="J103" s="8" t="n">
        <x:f>IF(I103="оплачен",E103*F103-G103,0)</x:f>
        <x:v>5104</x:v>
      </x:c>
      <x:c r="K103" s="8"/>
      <x:c r="L103" s="8" t="n">
        <x:f>J103-K103</x:f>
        <x:v>5104</x:v>
      </x:c>
      <x:c r="M103" s="2" t="str">
        <x:f>TEXT(B103,"yyyy-mm")</x:f>
        <x:v>2026-08</x:v>
      </x:c>
      <x:c r="N103" s="2"/>
      <x:c r="O103" s="2"/>
      <x:c r="P103" s="2"/>
    </x:row>
    <x:row r="104" ht="26" customHeight="1">
      <x:c r="A104" s="2" t="str">
        <x:v>O103</x:v>
      </x:c>
      <x:c r="B104" s="7" t="d">
        <x:v>2026-08-19T00:00:00.000Z</x:v>
      </x:c>
      <x:c r="C104" s="2" t="str">
        <x:v>Планер</x:v>
      </x:c>
      <x:c r="D104" s="2" t="str">
        <x:v>Маркетплейс</x:v>
      </x:c>
      <x:c r="E104" s="29" t="n">
        <x:v>4</x:v>
      </x:c>
      <x:c r="F104" s="8" t="n">
        <x:v>800</x:v>
      </x:c>
      <x:c r="G104" s="8" t="n">
        <x:v>384</x:v>
      </x:c>
      <x:c r="H104" s="8" t="n">
        <x:v>280</x:v>
      </x:c>
      <x:c r="I104" s="2" t="str">
        <x:v>возвращён</x:v>
      </x:c>
      <x:c r="J104" s="8" t="n">
        <x:f>IF(I104="оплачен",E104*F104-G104,0)</x:f>
        <x:v>0</x:v>
      </x:c>
      <x:c r="K104" s="8"/>
      <x:c r="L104" s="8" t="n">
        <x:f>J104-K104</x:f>
        <x:v>0</x:v>
      </x:c>
      <x:c r="M104" s="2" t="str">
        <x:f>TEXT(B104,"yyyy-mm")</x:f>
        <x:v>2026-08</x:v>
      </x:c>
      <x:c r="N104" s="2"/>
      <x:c r="O104" s="2"/>
      <x:c r="P104" s="2"/>
    </x:row>
    <x:row r="105" ht="26" customHeight="1">
      <x:c r="A105" s="2" t="str">
        <x:v>O104</x:v>
      </x:c>
      <x:c r="B105" s="7" t="d">
        <x:v>2026-08-20T00:00:00.000Z</x:v>
      </x:c>
      <x:c r="C105" s="2" t="str">
        <x:v>Настольная лампа</x:v>
      </x:c>
      <x:c r="D105" s="2" t="str">
        <x:v>Маркетплейс</x:v>
      </x:c>
      <x:c r="E105" s="29" t="n">
        <x:v>2</x:v>
      </x:c>
      <x:c r="F105" s="8" t="n">
        <x:v>2900</x:v>
      </x:c>
      <x:c r="G105" s="8" t="n">
        <x:v>696</x:v>
      </x:c>
      <x:c r="H105" s="8" t="n">
        <x:v>1700</x:v>
      </x:c>
      <x:c r="I105" s="2" t="str">
        <x:v>оплачен</x:v>
      </x:c>
      <x:c r="J105" s="8" t="n">
        <x:f>IF(I105="оплачен",E105*F105-G105,0)</x:f>
        <x:v>5104</x:v>
      </x:c>
      <x:c r="K105" s="8"/>
      <x:c r="L105" s="8" t="n">
        <x:f>J105-K105</x:f>
        <x:v>5104</x:v>
      </x:c>
      <x:c r="M105" s="2" t="str">
        <x:f>TEXT(B105,"yyyy-mm")</x:f>
        <x:v>2026-08</x:v>
      </x:c>
      <x:c r="N105" s="2"/>
      <x:c r="O105" s="2"/>
      <x:c r="P105" s="2"/>
    </x:row>
    <x:row r="106" ht="26" customHeight="1">
      <x:c r="A106" s="2" t="str">
        <x:v>O105</x:v>
      </x:c>
      <x:c r="B106" s="7" t="d">
        <x:v>2026-08-21T00:00:00.000Z</x:v>
      </x:c>
      <x:c r="C106" s="2" t="str">
        <x:v>Настольная лампа</x:v>
      </x:c>
      <x:c r="D106" s="2" t="str">
        <x:v>Соцсети</x:v>
      </x:c>
      <x:c r="E106" s="29" t="n">
        <x:v>4</x:v>
      </x:c>
      <x:c r="F106" s="8" t="n">
        <x:v>2900</x:v>
      </x:c>
      <x:c r="G106" s="8" t="n">
        <x:v>348</x:v>
      </x:c>
      <x:c r="H106" s="8" t="n">
        <x:v>1700</x:v>
      </x:c>
      <x:c r="I106" s="2" t="str">
        <x:v>отменён</x:v>
      </x:c>
      <x:c r="J106" s="8" t="n">
        <x:f>IF(I106="оплачен",E106*F106-G106,0)</x:f>
        <x:v>0</x:v>
      </x:c>
      <x:c r="K106" s="8"/>
      <x:c r="L106" s="8" t="n">
        <x:f>J106-K106</x:f>
        <x:v>0</x:v>
      </x:c>
      <x:c r="M106" s="2" t="str">
        <x:f>TEXT(B106,"yyyy-mm")</x:f>
        <x:v>2026-08</x:v>
      </x:c>
      <x:c r="N106" s="2"/>
      <x:c r="O106" s="2"/>
      <x:c r="P106" s="2"/>
    </x:row>
    <x:row r="107" ht="26" customHeight="1">
      <x:c r="A107" s="2" t="str">
        <x:v>O106</x:v>
      </x:c>
      <x:c r="B107" s="7" t="d">
        <x:v>2026-08-22T00:00:00.000Z</x:v>
      </x:c>
      <x:c r="C107" s="2" t="str">
        <x:v>Планер</x:v>
      </x:c>
      <x:c r="D107" s="2" t="str">
        <x:v>Соцсети</x:v>
      </x:c>
      <x:c r="E107" s="29" t="n">
        <x:v>1</x:v>
      </x:c>
      <x:c r="F107" s="8" t="n">
        <x:v>800</x:v>
      </x:c>
      <x:c r="G107" s="8" t="n">
        <x:v>24</x:v>
      </x:c>
      <x:c r="H107" s="8" t="n">
        <x:v>280</x:v>
      </x:c>
      <x:c r="I107" s="2" t="str">
        <x:v>оплачен</x:v>
      </x:c>
      <x:c r="J107" s="8" t="n">
        <x:f>IF(I107="оплачен",E107*F107-G107,0)</x:f>
        <x:v>776</x:v>
      </x:c>
      <x:c r="K107" s="8"/>
      <x:c r="L107" s="8" t="n">
        <x:f>J107-K107</x:f>
        <x:v>776</x:v>
      </x:c>
      <x:c r="M107" s="2" t="str">
        <x:f>TEXT(B107,"yyyy-mm")</x:f>
        <x:v>2026-08</x:v>
      </x:c>
      <x:c r="N107" s="2"/>
      <x:c r="O107" s="2"/>
      <x:c r="P107" s="2"/>
    </x:row>
    <x:row r="108" ht="26" customHeight="1">
      <x:c r="A108" s="2" t="str">
        <x:v>O107</x:v>
      </x:c>
      <x:c r="B108" s="7" t="d">
        <x:v>2026-08-23T00:00:00.000Z</x:v>
      </x:c>
      <x:c r="C108" s="2" t="str">
        <x:v>Планер</x:v>
      </x:c>
      <x:c r="D108" s="2" t="str">
        <x:v>Маркетплейс</x:v>
      </x:c>
      <x:c r="E108" s="29" t="n">
        <x:v>3</x:v>
      </x:c>
      <x:c r="F108" s="8" t="n">
        <x:v>800</x:v>
      </x:c>
      <x:c r="G108" s="8" t="n">
        <x:v>288</x:v>
      </x:c>
      <x:c r="H108" s="8" t="n">
        <x:v>280</x:v>
      </x:c>
      <x:c r="I108" s="2" t="str">
        <x:v>оплачен</x:v>
      </x:c>
      <x:c r="J108" s="8" t="n">
        <x:f>IF(I108="оплачен",E108*F108-G108,0)</x:f>
        <x:v>2112</x:v>
      </x:c>
      <x:c r="K108" s="8"/>
      <x:c r="L108" s="8" t="n">
        <x:f>J108-K108</x:f>
        <x:v>2112</x:v>
      </x:c>
      <x:c r="M108" s="2" t="str">
        <x:f>TEXT(B108,"yyyy-mm")</x:f>
        <x:v>2026-08</x:v>
      </x:c>
      <x:c r="N108" s="2"/>
      <x:c r="O108" s="2"/>
      <x:c r="P108" s="2"/>
    </x:row>
    <x:row r="109" ht="26" customHeight="1">
      <x:c r="A109" s="2" t="str">
        <x:v>O108</x:v>
      </x:c>
      <x:c r="B109" s="7" t="d">
        <x:v>2026-08-24T00:00:00.000Z</x:v>
      </x:c>
      <x:c r="C109" s="2" t="str">
        <x:v>Рюкзак</x:v>
      </x:c>
      <x:c r="D109" s="2" t="str">
        <x:v>Маркетплейс</x:v>
      </x:c>
      <x:c r="E109" s="29" t="n">
        <x:v>2</x:v>
      </x:c>
      <x:c r="F109" s="8" t="n">
        <x:v>3600</x:v>
      </x:c>
      <x:c r="G109" s="8" t="n">
        <x:v>864</x:v>
      </x:c>
      <x:c r="H109" s="8" t="n">
        <x:v>1900</x:v>
      </x:c>
      <x:c r="I109" s="2" t="str">
        <x:v>оплачен</x:v>
      </x:c>
      <x:c r="J109" s="8" t="n">
        <x:f>IF(I109="оплачен",E109*F109-G109,0)</x:f>
        <x:v>6336</x:v>
      </x:c>
      <x:c r="K109" s="8"/>
      <x:c r="L109" s="8" t="n">
        <x:f>J109-K109</x:f>
        <x:v>6336</x:v>
      </x:c>
      <x:c r="M109" s="2" t="str">
        <x:f>TEXT(B109,"yyyy-mm")</x:f>
        <x:v>2026-08</x:v>
      </x:c>
      <x:c r="N109" s="2"/>
      <x:c r="O109" s="2"/>
      <x:c r="P109" s="2"/>
    </x:row>
    <x:row r="110" ht="26" customHeight="1">
      <x:c r="A110" s="2" t="str">
        <x:v>O109</x:v>
      </x:c>
      <x:c r="B110" s="7" t="d">
        <x:v>2026-08-25T00:00:00.000Z</x:v>
      </x:c>
      <x:c r="C110" s="2" t="str">
        <x:v>Планер</x:v>
      </x:c>
      <x:c r="D110" s="2" t="str">
        <x:v>Маркетплейс</x:v>
      </x:c>
      <x:c r="E110" s="29" t="n">
        <x:v>1</x:v>
      </x:c>
      <x:c r="F110" s="8" t="n">
        <x:v>800</x:v>
      </x:c>
      <x:c r="G110" s="8" t="n">
        <x:v>96</x:v>
      </x:c>
      <x:c r="H110" s="8" t="n">
        <x:v>280</x:v>
      </x:c>
      <x:c r="I110" s="2" t="str">
        <x:v>оплачен</x:v>
      </x:c>
      <x:c r="J110" s="8" t="n">
        <x:f>IF(I110="оплачен",E110*F110-G110,0)</x:f>
        <x:v>704</x:v>
      </x:c>
      <x:c r="K110" s="8"/>
      <x:c r="L110" s="8" t="n">
        <x:f>J110-K110</x:f>
        <x:v>704</x:v>
      </x:c>
      <x:c r="M110" s="2" t="str">
        <x:f>TEXT(B110,"yyyy-mm")</x:f>
        <x:v>2026-08</x:v>
      </x:c>
      <x:c r="N110" s="2"/>
      <x:c r="O110" s="2"/>
      <x:c r="P110" s="2"/>
    </x:row>
    <x:row r="111" ht="26" customHeight="1">
      <x:c r="A111" s="2" t="str">
        <x:v>O110</x:v>
      </x:c>
      <x:c r="B111" s="7" t="d">
        <x:v>2026-08-26T00:00:00.000Z</x:v>
      </x:c>
      <x:c r="C111" s="2" t="str">
        <x:v>Планер</x:v>
      </x:c>
      <x:c r="D111" s="2" t="str">
        <x:v>Маркетплейс</x:v>
      </x:c>
      <x:c r="E111" s="29" t="n">
        <x:v>1</x:v>
      </x:c>
      <x:c r="F111" s="8" t="n">
        <x:v>800</x:v>
      </x:c>
      <x:c r="G111" s="8" t="n">
        <x:v>96</x:v>
      </x:c>
      <x:c r="H111" s="8" t="n">
        <x:v>280</x:v>
      </x:c>
      <x:c r="I111" s="2" t="str">
        <x:v>оплачен</x:v>
      </x:c>
      <x:c r="J111" s="8" t="n">
        <x:f>IF(I111="оплачен",E111*F111-G111,0)</x:f>
        <x:v>704</x:v>
      </x:c>
      <x:c r="K111" s="8"/>
      <x:c r="L111" s="8" t="n">
        <x:f>J111-K111</x:f>
        <x:v>704</x:v>
      </x:c>
      <x:c r="M111" s="2" t="str">
        <x:f>TEXT(B111,"yyyy-mm")</x:f>
        <x:v>2026-08</x:v>
      </x:c>
      <x:c r="N111" s="2"/>
      <x:c r="O111" s="2"/>
      <x:c r="P111" s="2"/>
    </x:row>
    <x:row r="112" ht="26" customHeight="1">
      <x:c r="A112" s="2" t="str">
        <x:v>O111</x:v>
      </x:c>
      <x:c r="B112" s="7" t="d">
        <x:v>2026-08-27T00:00:00.000Z</x:v>
      </x:c>
      <x:c r="C112" s="2" t="str">
        <x:v>Термокружка</x:v>
      </x:c>
      <x:c r="D112" s="2" t="str">
        <x:v>Маркетплейс</x:v>
      </x:c>
      <x:c r="E112" s="29" t="n">
        <x:v>4</x:v>
      </x:c>
      <x:c r="F112" s="8" t="n">
        <x:v>1600</x:v>
      </x:c>
      <x:c r="G112" s="8" t="n">
        <x:v>768</x:v>
      </x:c>
      <x:c r="H112" s="8" t="n">
        <x:v>650</x:v>
      </x:c>
      <x:c r="I112" s="2" t="str">
        <x:v>оплачен</x:v>
      </x:c>
      <x:c r="J112" s="8" t="n">
        <x:f>IF(I112="оплачен",E112*F112-G112,0)</x:f>
        <x:v>5632</x:v>
      </x:c>
      <x:c r="K112" s="8"/>
      <x:c r="L112" s="8" t="n">
        <x:f>J112-K112</x:f>
        <x:v>5632</x:v>
      </x:c>
      <x:c r="M112" s="2" t="str">
        <x:f>TEXT(B112,"yyyy-mm")</x:f>
        <x:v>2026-08</x:v>
      </x:c>
      <x:c r="N112" s="2"/>
      <x:c r="O112" s="2"/>
      <x:c r="P112" s="2"/>
    </x:row>
    <x:row r="113" ht="26" customHeight="1">
      <x:c r="A113" s="2" t="str">
        <x:v>O112</x:v>
      </x:c>
      <x:c r="B113" s="7" t="d">
        <x:v>2026-08-28T00:00:00.000Z</x:v>
      </x:c>
      <x:c r="C113" s="2" t="str">
        <x:v>Термокружка</x:v>
      </x:c>
      <x:c r="D113" s="2" t="str">
        <x:v>Сайт</x:v>
      </x:c>
      <x:c r="E113" s="29" t="n">
        <x:v>1</x:v>
      </x:c>
      <x:c r="F113" s="8" t="n">
        <x:v>1600</x:v>
      </x:c>
      <x:c r="G113" s="8" t="n">
        <x:v>48</x:v>
      </x:c>
      <x:c r="H113" s="8" t="n">
        <x:v>650</x:v>
      </x:c>
      <x:c r="I113" s="2" t="str">
        <x:v>оплачен</x:v>
      </x:c>
      <x:c r="J113" s="8" t="n">
        <x:f>IF(I113="оплачен",E113*F113-G113,0)</x:f>
        <x:v>1552</x:v>
      </x:c>
      <x:c r="K113" s="8"/>
      <x:c r="L113" s="8" t="n">
        <x:f>J113-K113</x:f>
        <x:v>1552</x:v>
      </x:c>
      <x:c r="M113" s="2" t="str">
        <x:f>TEXT(B113,"yyyy-mm")</x:f>
        <x:v>2026-08</x:v>
      </x:c>
      <x:c r="N113" s="2"/>
      <x:c r="O113" s="2"/>
      <x:c r="P113" s="2"/>
    </x:row>
    <x:row r="114" ht="26" customHeight="1">
      <x:c r="A114" s="2" t="str">
        <x:v>O113</x:v>
      </x:c>
      <x:c r="B114" s="7" t="d">
        <x:v>2026-08-01T00:00:00.000Z</x:v>
      </x:c>
      <x:c r="C114" s="2" t="str">
        <x:v>Планер</x:v>
      </x:c>
      <x:c r="D114" s="2" t="str">
        <x:v>Маркетплейс</x:v>
      </x:c>
      <x:c r="E114" s="29" t="n">
        <x:v>1</x:v>
      </x:c>
      <x:c r="F114" s="8" t="n">
        <x:v>800</x:v>
      </x:c>
      <x:c r="G114" s="8" t="n">
        <x:v>96</x:v>
      </x:c>
      <x:c r="H114" s="8" t="n">
        <x:v>280</x:v>
      </x:c>
      <x:c r="I114" s="2" t="str">
        <x:v>оплачен</x:v>
      </x:c>
      <x:c r="J114" s="8" t="n">
        <x:f>IF(I114="оплачен",E114*F114-G114,0)</x:f>
        <x:v>704</x:v>
      </x:c>
      <x:c r="K114" s="8"/>
      <x:c r="L114" s="8" t="n">
        <x:f>J114-K114</x:f>
        <x:v>704</x:v>
      </x:c>
      <x:c r="M114" s="2" t="str">
        <x:f>TEXT(B114,"yyyy-mm")</x:f>
        <x:v>2026-08</x:v>
      </x:c>
      <x:c r="N114" s="2"/>
      <x:c r="O114" s="2"/>
      <x:c r="P114" s="2"/>
    </x:row>
    <x:row r="115" ht="26" customHeight="1">
      <x:c r="A115" s="2" t="str">
        <x:v>O114</x:v>
      </x:c>
      <x:c r="B115" s="7" t="d">
        <x:v>2026-08-02T00:00:00.000Z</x:v>
      </x:c>
      <x:c r="C115" s="2" t="str">
        <x:v>Термокружка</x:v>
      </x:c>
      <x:c r="D115" s="2" t="str">
        <x:v>Маркетплейс</x:v>
      </x:c>
      <x:c r="E115" s="29" t="n">
        <x:v>4</x:v>
      </x:c>
      <x:c r="F115" s="8" t="n">
        <x:v>1600</x:v>
      </x:c>
      <x:c r="G115" s="8" t="n">
        <x:v>768</x:v>
      </x:c>
      <x:c r="H115" s="8" t="n">
        <x:v>650</x:v>
      </x:c>
      <x:c r="I115" s="2" t="str">
        <x:v>оплачен</x:v>
      </x:c>
      <x:c r="J115" s="8" t="n">
        <x:f>IF(I115="оплачен",E115*F115-G115,0)</x:f>
        <x:v>5632</x:v>
      </x:c>
      <x:c r="K115" s="8"/>
      <x:c r="L115" s="8" t="n">
        <x:f>J115-K115</x:f>
        <x:v>5632</x:v>
      </x:c>
      <x:c r="M115" s="2" t="str">
        <x:f>TEXT(B115,"yyyy-mm")</x:f>
        <x:v>2026-08</x:v>
      </x:c>
      <x:c r="N115" s="2"/>
      <x:c r="O115" s="2"/>
      <x:c r="P115" s="2"/>
    </x:row>
    <x:row r="116" ht="26" customHeight="1">
      <x:c r="A116" s="2" t="str">
        <x:v>O115</x:v>
      </x:c>
      <x:c r="B116" s="7" t="d">
        <x:v>2026-08-03T00:00:00.000Z</x:v>
      </x:c>
      <x:c r="C116" s="2" t="str">
        <x:v>Настольная лампа</x:v>
      </x:c>
      <x:c r="D116" s="2" t="str">
        <x:v>Сайт</x:v>
      </x:c>
      <x:c r="E116" s="29" t="n">
        <x:v>1</x:v>
      </x:c>
      <x:c r="F116" s="8" t="n">
        <x:v>2900</x:v>
      </x:c>
      <x:c r="G116" s="8" t="n">
        <x:v>87</x:v>
      </x:c>
      <x:c r="H116" s="8" t="n">
        <x:v>1700</x:v>
      </x:c>
      <x:c r="I116" s="2" t="str">
        <x:v>оплачен</x:v>
      </x:c>
      <x:c r="J116" s="8" t="n">
        <x:f>IF(I116="оплачен",E116*F116-G116,0)</x:f>
        <x:v>2813</x:v>
      </x:c>
      <x:c r="K116" s="8"/>
      <x:c r="L116" s="8" t="n">
        <x:f>J116-K116</x:f>
        <x:v>2813</x:v>
      </x:c>
      <x:c r="M116" s="2" t="str">
        <x:f>TEXT(B116,"yyyy-mm")</x:f>
        <x:v>2026-08</x:v>
      </x:c>
      <x:c r="N116" s="2"/>
      <x:c r="O116" s="2"/>
      <x:c r="P116" s="2"/>
    </x:row>
    <x:row r="117" ht="26" customHeight="1">
      <x:c r="A117" s="2" t="str">
        <x:v>O116</x:v>
      </x:c>
      <x:c r="B117" s="7" t="d">
        <x:v>2026-08-04T00:00:00.000Z</x:v>
      </x:c>
      <x:c r="C117" s="2" t="str">
        <x:v>Термокружка</x:v>
      </x:c>
      <x:c r="D117" s="2" t="str">
        <x:v>Соцсети</x:v>
      </x:c>
      <x:c r="E117" s="29" t="n">
        <x:v>1</x:v>
      </x:c>
      <x:c r="F117" s="8" t="n">
        <x:v>1600</x:v>
      </x:c>
      <x:c r="G117" s="8" t="n">
        <x:v>48</x:v>
      </x:c>
      <x:c r="H117" s="8" t="n">
        <x:v>650</x:v>
      </x:c>
      <x:c r="I117" s="2" t="str">
        <x:v>оплачен</x:v>
      </x:c>
      <x:c r="J117" s="8" t="n">
        <x:f>IF(I117="оплачен",E117*F117-G117,0)</x:f>
        <x:v>1552</x:v>
      </x:c>
      <x:c r="K117" s="8"/>
      <x:c r="L117" s="8" t="n">
        <x:f>J117-K117</x:f>
        <x:v>1552</x:v>
      </x:c>
      <x:c r="M117" s="2" t="str">
        <x:f>TEXT(B117,"yyyy-mm")</x:f>
        <x:v>2026-08</x:v>
      </x:c>
      <x:c r="N117" s="2"/>
      <x:c r="O117" s="2"/>
      <x:c r="P117" s="2"/>
    </x:row>
    <x:row r="118" ht="26" customHeight="1">
      <x:c r="A118" s="2" t="str">
        <x:v>O117</x:v>
      </x:c>
      <x:c r="B118" s="7" t="d">
        <x:v>2026-08-05T00:00:00.000Z</x:v>
      </x:c>
      <x:c r="C118" s="2" t="str">
        <x:v>Рюкзак</x:v>
      </x:c>
      <x:c r="D118" s="2" t="str">
        <x:v>Маркетплейс</x:v>
      </x:c>
      <x:c r="E118" s="29" t="n">
        <x:v>3</x:v>
      </x:c>
      <x:c r="F118" s="8" t="n">
        <x:v>3600</x:v>
      </x:c>
      <x:c r="G118" s="8" t="n">
        <x:v>1296</x:v>
      </x:c>
      <x:c r="H118" s="8" t="n">
        <x:v>1900</x:v>
      </x:c>
      <x:c r="I118" s="2" t="str">
        <x:v>оплачен</x:v>
      </x:c>
      <x:c r="J118" s="8" t="n">
        <x:f>IF(I118="оплачен",E118*F118-G118,0)</x:f>
        <x:v>9504</x:v>
      </x:c>
      <x:c r="K118" s="8"/>
      <x:c r="L118" s="8" t="n">
        <x:f>J118-K118</x:f>
        <x:v>9504</x:v>
      </x:c>
      <x:c r="M118" s="2" t="str">
        <x:f>TEXT(B118,"yyyy-mm")</x:f>
        <x:v>2026-08</x:v>
      </x:c>
      <x:c r="N118" s="2"/>
      <x:c r="O118" s="2"/>
      <x:c r="P118" s="2"/>
    </x:row>
    <x:row r="119" ht="26" customHeight="1">
      <x:c r="A119" s="2" t="str">
        <x:v>O118</x:v>
      </x:c>
      <x:c r="B119" s="7" t="d">
        <x:v>2026-08-06T00:00:00.000Z</x:v>
      </x:c>
      <x:c r="C119" s="2" t="str">
        <x:v>Планер</x:v>
      </x:c>
      <x:c r="D119" s="2" t="str">
        <x:v>Маркетплейс</x:v>
      </x:c>
      <x:c r="E119" s="29" t="n">
        <x:v>1</x:v>
      </x:c>
      <x:c r="F119" s="8" t="n">
        <x:v>800</x:v>
      </x:c>
      <x:c r="G119" s="8" t="n">
        <x:v>96</x:v>
      </x:c>
      <x:c r="H119" s="8" t="n">
        <x:v>280</x:v>
      </x:c>
      <x:c r="I119" s="2" t="str">
        <x:v>отменён</x:v>
      </x:c>
      <x:c r="J119" s="8" t="n">
        <x:f>IF(I119="оплачен",E119*F119-G119,0)</x:f>
        <x:v>0</x:v>
      </x:c>
      <x:c r="K119" s="8"/>
      <x:c r="L119" s="8" t="n">
        <x:f>J119-K119</x:f>
        <x:v>0</x:v>
      </x:c>
      <x:c r="M119" s="2" t="str">
        <x:f>TEXT(B119,"yyyy-mm")</x:f>
        <x:v>2026-08</x:v>
      </x:c>
      <x:c r="N119" s="2"/>
      <x:c r="O119" s="2"/>
      <x:c r="P119" s="2"/>
    </x:row>
    <x:row r="120" ht="26" customHeight="1">
      <x:c r="A120" s="2" t="str">
        <x:v>O119</x:v>
      </x:c>
      <x:c r="B120" s="7" t="d">
        <x:v>2026-08-07T00:00:00.000Z</x:v>
      </x:c>
      <x:c r="C120" s="2" t="str">
        <x:v>Планер</x:v>
      </x:c>
      <x:c r="D120" s="2" t="str">
        <x:v>Соцсети</x:v>
      </x:c>
      <x:c r="E120" s="29" t="n">
        <x:v>2</x:v>
      </x:c>
      <x:c r="F120" s="8" t="n">
        <x:v>800</x:v>
      </x:c>
      <x:c r="G120" s="8" t="n">
        <x:v>48</x:v>
      </x:c>
      <x:c r="H120" s="8" t="n">
        <x:v>280</x:v>
      </x:c>
      <x:c r="I120" s="2" t="str">
        <x:v>оплачен</x:v>
      </x:c>
      <x:c r="J120" s="8" t="n">
        <x:f>IF(I120="оплачен",E120*F120-G120,0)</x:f>
        <x:v>1552</x:v>
      </x:c>
      <x:c r="K120" s="8"/>
      <x:c r="L120" s="8" t="n">
        <x:f>J120-K120</x:f>
        <x:v>1552</x:v>
      </x:c>
      <x:c r="M120" s="2" t="str">
        <x:f>TEXT(B120,"yyyy-mm")</x:f>
        <x:v>2026-08</x:v>
      </x:c>
      <x:c r="N120" s="2"/>
      <x:c r="O120" s="2"/>
      <x:c r="P120" s="2"/>
    </x:row>
    <x:row r="121" ht="26" customHeight="1">
      <x:c r="A121" s="2" t="str">
        <x:v>O120</x:v>
      </x:c>
      <x:c r="B121" s="7" t="d">
        <x:v>2026-08-08T00:00:00.000Z</x:v>
      </x:c>
      <x:c r="C121" s="2" t="str">
        <x:v>Настольная лампа</x:v>
      </x:c>
      <x:c r="D121" s="2" t="str">
        <x:v>Сайт</x:v>
      </x:c>
      <x:c r="E121" s="29" t="n">
        <x:v>1</x:v>
      </x:c>
      <x:c r="F121" s="8" t="n">
        <x:v>2900</x:v>
      </x:c>
      <x:c r="G121" s="8" t="n">
        <x:v>87</x:v>
      </x:c>
      <x:c r="H121" s="8" t="n">
        <x:v>1700</x:v>
      </x:c>
      <x:c r="I121" s="2" t="str">
        <x:v>возвращён</x:v>
      </x:c>
      <x:c r="J121" s="8" t="n">
        <x:f>IF(I121="оплачен",E121*F121-G121,0)</x:f>
        <x:v>0</x:v>
      </x:c>
      <x:c r="K121" s="8"/>
      <x:c r="L121" s="8" t="n">
        <x:f>J121-K121</x:f>
        <x:v>0</x:v>
      </x:c>
      <x:c r="M121" s="2" t="str">
        <x:f>TEXT(B121,"yyyy-mm")</x:f>
        <x:v>2026-08</x:v>
      </x:c>
      <x:c r="N121" s="2"/>
      <x:c r="O121" s="2"/>
      <x:c r="P121" s="2"/>
    </x:row>
    <x:row r="122" ht="26" customHeight="1">
      <x:c r="A122" s="2" t="str">
        <x:v>O121</x:v>
      </x:c>
      <x:c r="B122" s="7" t="d">
        <x:v>2026-08-09T00:00:00.000Z</x:v>
      </x:c>
      <x:c r="C122" s="2" t="str">
        <x:v>Настольная лампа</x:v>
      </x:c>
      <x:c r="D122" s="2" t="str">
        <x:v>Соцсети</x:v>
      </x:c>
      <x:c r="E122" s="29" t="n">
        <x:v>4</x:v>
      </x:c>
      <x:c r="F122" s="8" t="n">
        <x:v>2900</x:v>
      </x:c>
      <x:c r="G122" s="8" t="n">
        <x:v>348</x:v>
      </x:c>
      <x:c r="H122" s="8" t="n">
        <x:v>1700</x:v>
      </x:c>
      <x:c r="I122" s="2" t="str">
        <x:v>оплачен</x:v>
      </x:c>
      <x:c r="J122" s="8" t="n">
        <x:f>IF(I122="оплачен",E122*F122-G122,0)</x:f>
        <x:v>11252</x:v>
      </x:c>
      <x:c r="K122" s="8"/>
      <x:c r="L122" s="8" t="n">
        <x:f>J122-K122</x:f>
        <x:v>11252</x:v>
      </x:c>
      <x:c r="M122" s="2" t="str">
        <x:f>TEXT(B122,"yyyy-mm")</x:f>
        <x:v>2026-08</x:v>
      </x:c>
      <x:c r="N122" s="2"/>
      <x:c r="O122" s="2"/>
      <x:c r="P122" s="2"/>
    </x:row>
    <x:row r="123" ht="26" customHeight="1">
      <x:c r="A123" s="2" t="str">
        <x:v>O122</x:v>
      </x:c>
      <x:c r="B123" s="7" t="d">
        <x:v>2026-08-10T00:00:00.000Z</x:v>
      </x:c>
      <x:c r="C123" s="2" t="str">
        <x:v>Термокружка</x:v>
      </x:c>
      <x:c r="D123" s="2" t="str">
        <x:v>Сайт</x:v>
      </x:c>
      <x:c r="E123" s="29" t="n">
        <x:v>4</x:v>
      </x:c>
      <x:c r="F123" s="8" t="n">
        <x:v>1600</x:v>
      </x:c>
      <x:c r="G123" s="8" t="n">
        <x:v>192</x:v>
      </x:c>
      <x:c r="H123" s="8" t="n">
        <x:v>650</x:v>
      </x:c>
      <x:c r="I123" s="2" t="str">
        <x:v>оплачен</x:v>
      </x:c>
      <x:c r="J123" s="8" t="n">
        <x:f>IF(I123="оплачен",E123*F123-G123,0)</x:f>
        <x:v>6208</x:v>
      </x:c>
      <x:c r="K123" s="8"/>
      <x:c r="L123" s="8" t="n">
        <x:f>J123-K123</x:f>
        <x:v>6208</x:v>
      </x:c>
      <x:c r="M123" s="2" t="str">
        <x:f>TEXT(B123,"yyyy-mm")</x:f>
        <x:v>2026-08</x:v>
      </x:c>
      <x:c r="N123" s="2"/>
      <x:c r="O123" s="2"/>
      <x:c r="P123" s="2"/>
    </x:row>
    <x:row r="124" ht="26" customHeight="1">
      <x:c r="A124" s="2" t="str">
        <x:v>O123</x:v>
      </x:c>
      <x:c r="B124" s="7" t="d">
        <x:v>2026-08-11T00:00:00.000Z</x:v>
      </x:c>
      <x:c r="C124" s="2" t="str">
        <x:v>Планер</x:v>
      </x:c>
      <x:c r="D124" s="2" t="str">
        <x:v>Маркетплейс</x:v>
      </x:c>
      <x:c r="E124" s="29" t="n">
        <x:v>1</x:v>
      </x:c>
      <x:c r="F124" s="8" t="n">
        <x:v>800</x:v>
      </x:c>
      <x:c r="G124" s="8" t="n">
        <x:v>96</x:v>
      </x:c>
      <x:c r="H124" s="8" t="n">
        <x:v>280</x:v>
      </x:c>
      <x:c r="I124" s="2" t="str">
        <x:v>оплачен</x:v>
      </x:c>
      <x:c r="J124" s="8" t="n">
        <x:f>IF(I124="оплачен",E124*F124-G124,0)</x:f>
        <x:v>704</x:v>
      </x:c>
      <x:c r="K124" s="8"/>
      <x:c r="L124" s="8" t="n">
        <x:f>J124-K124</x:f>
        <x:v>704</x:v>
      </x:c>
      <x:c r="M124" s="2" t="str">
        <x:f>TEXT(B124,"yyyy-mm")</x:f>
        <x:v>2026-08</x:v>
      </x:c>
      <x:c r="N124" s="2"/>
      <x:c r="O124" s="2"/>
      <x:c r="P124" s="2"/>
    </x:row>
    <x:row r="125" ht="26" customHeight="1">
      <x:c r="A125" s="2" t="str">
        <x:v>O124</x:v>
      </x:c>
      <x:c r="B125" s="7" t="d">
        <x:v>2026-08-12T00:00:00.000Z</x:v>
      </x:c>
      <x:c r="C125" s="2" t="str">
        <x:v>Настольная лампа</x:v>
      </x:c>
      <x:c r="D125" s="2" t="str">
        <x:v>Маркетплейс</x:v>
      </x:c>
      <x:c r="E125" s="29" t="n">
        <x:v>1</x:v>
      </x:c>
      <x:c r="F125" s="8" t="n">
        <x:v>2900</x:v>
      </x:c>
      <x:c r="G125" s="8" t="n">
        <x:v>348</x:v>
      </x:c>
      <x:c r="H125" s="8" t="n">
        <x:v>1700</x:v>
      </x:c>
      <x:c r="I125" s="2" t="str">
        <x:v>оплачен</x:v>
      </x:c>
      <x:c r="J125" s="8" t="n">
        <x:f>IF(I125="оплачен",E125*F125-G125,0)</x:f>
        <x:v>2552</x:v>
      </x:c>
      <x:c r="K125" s="8"/>
      <x:c r="L125" s="8" t="n">
        <x:f>J125-K125</x:f>
        <x:v>2552</x:v>
      </x:c>
      <x:c r="M125" s="2" t="str">
        <x:f>TEXT(B125,"yyyy-mm")</x:f>
        <x:v>2026-08</x:v>
      </x:c>
      <x:c r="N125" s="2"/>
      <x:c r="O125" s="2"/>
      <x:c r="P125" s="2"/>
    </x:row>
    <x:row r="126" ht="26" customHeight="1">
      <x:c r="A126" s="2" t="str">
        <x:v>O125</x:v>
      </x:c>
      <x:c r="B126" s="7" t="d">
        <x:v>2026-08-13T00:00:00.000Z</x:v>
      </x:c>
      <x:c r="C126" s="2" t="str">
        <x:v>Планер</x:v>
      </x:c>
      <x:c r="D126" s="2" t="str">
        <x:v>Маркетплейс</x:v>
      </x:c>
      <x:c r="E126" s="29" t="n">
        <x:v>1</x:v>
      </x:c>
      <x:c r="F126" s="8" t="n">
        <x:v>800</x:v>
      </x:c>
      <x:c r="G126" s="8" t="n">
        <x:v>96</x:v>
      </x:c>
      <x:c r="H126" s="8" t="n">
        <x:v>280</x:v>
      </x:c>
      <x:c r="I126" s="2" t="str">
        <x:v>оплачен</x:v>
      </x:c>
      <x:c r="J126" s="8" t="n">
        <x:f>IF(I126="оплачен",E126*F126-G126,0)</x:f>
        <x:v>704</x:v>
      </x:c>
      <x:c r="K126" s="8"/>
      <x:c r="L126" s="8" t="n">
        <x:f>J126-K126</x:f>
        <x:v>704</x:v>
      </x:c>
      <x:c r="M126" s="2" t="str">
        <x:f>TEXT(B126,"yyyy-mm")</x:f>
        <x:v>2026-08</x:v>
      </x:c>
      <x:c r="N126" s="2"/>
      <x:c r="O126" s="2"/>
      <x:c r="P126" s="2"/>
    </x:row>
    <x:row r="127" ht="26" customHeight="1">
      <x:c r="A127" s="2" t="str">
        <x:v>O126</x:v>
      </x:c>
      <x:c r="B127" s="7" t="d">
        <x:v>2026-08-14T00:00:00.000Z</x:v>
      </x:c>
      <x:c r="C127" s="2" t="str">
        <x:v>Термокружка</x:v>
      </x:c>
      <x:c r="D127" s="2" t="str">
        <x:v>Сайт</x:v>
      </x:c>
      <x:c r="E127" s="29" t="n">
        <x:v>2</x:v>
      </x:c>
      <x:c r="F127" s="8" t="n">
        <x:v>1600</x:v>
      </x:c>
      <x:c r="G127" s="8" t="n">
        <x:v>96</x:v>
      </x:c>
      <x:c r="H127" s="8" t="n">
        <x:v>650</x:v>
      </x:c>
      <x:c r="I127" s="2" t="str">
        <x:v>оплачен</x:v>
      </x:c>
      <x:c r="J127" s="8" t="n">
        <x:f>IF(I127="оплачен",E127*F127-G127,0)</x:f>
        <x:v>3104</x:v>
      </x:c>
      <x:c r="K127" s="8"/>
      <x:c r="L127" s="8" t="n">
        <x:f>J127-K127</x:f>
        <x:v>3104</x:v>
      </x:c>
      <x:c r="M127" s="2" t="str">
        <x:f>TEXT(B127,"yyyy-mm")</x:f>
        <x:v>2026-08</x:v>
      </x:c>
      <x:c r="N127" s="2"/>
      <x:c r="O127" s="2"/>
      <x:c r="P127" s="2"/>
    </x:row>
    <x:row r="128" ht="26" customHeight="1">
      <x:c r="A128" s="2" t="str">
        <x:v>O127</x:v>
      </x:c>
      <x:c r="B128" s="7" t="d">
        <x:v>2026-08-15T00:00:00.000Z</x:v>
      </x:c>
      <x:c r="C128" s="2" t="str">
        <x:v>Планер</x:v>
      </x:c>
      <x:c r="D128" s="2" t="str">
        <x:v>Соцсети</x:v>
      </x:c>
      <x:c r="E128" s="29" t="n">
        <x:v>1</x:v>
      </x:c>
      <x:c r="F128" s="8" t="n">
        <x:v>800</x:v>
      </x:c>
      <x:c r="G128" s="8" t="n">
        <x:v>24</x:v>
      </x:c>
      <x:c r="H128" s="8" t="n">
        <x:v>280</x:v>
      </x:c>
      <x:c r="I128" s="2" t="str">
        <x:v>оплачен</x:v>
      </x:c>
      <x:c r="J128" s="8" t="n">
        <x:f>IF(I128="оплачен",E128*F128-G128,0)</x:f>
        <x:v>776</x:v>
      </x:c>
      <x:c r="K128" s="8"/>
      <x:c r="L128" s="8" t="n">
        <x:f>J128-K128</x:f>
        <x:v>776</x:v>
      </x:c>
      <x:c r="M128" s="2" t="str">
        <x:f>TEXT(B128,"yyyy-mm")</x:f>
        <x:v>2026-08</x:v>
      </x:c>
      <x:c r="N128" s="2"/>
      <x:c r="O128" s="2"/>
      <x:c r="P128" s="2"/>
    </x:row>
    <x:row r="129" ht="26" customHeight="1">
      <x:c r="A129" s="2" t="str">
        <x:v>O128</x:v>
      </x:c>
      <x:c r="B129" s="7" t="d">
        <x:v>2026-08-16T00:00:00.000Z</x:v>
      </x:c>
      <x:c r="C129" s="2" t="str">
        <x:v>Планер</x:v>
      </x:c>
      <x:c r="D129" s="2" t="str">
        <x:v>Соцсети</x:v>
      </x:c>
      <x:c r="E129" s="29" t="n">
        <x:v>1</x:v>
      </x:c>
      <x:c r="F129" s="8" t="n">
        <x:v>800</x:v>
      </x:c>
      <x:c r="G129" s="8" t="n">
        <x:v>24</x:v>
      </x:c>
      <x:c r="H129" s="8" t="n">
        <x:v>280</x:v>
      </x:c>
      <x:c r="I129" s="2" t="str">
        <x:v>оплачен</x:v>
      </x:c>
      <x:c r="J129" s="8" t="n">
        <x:f>IF(I129="оплачен",E129*F129-G129,0)</x:f>
        <x:v>776</x:v>
      </x:c>
      <x:c r="K129" s="8"/>
      <x:c r="L129" s="8" t="n">
        <x:f>J129-K129</x:f>
        <x:v>776</x:v>
      </x:c>
      <x:c r="M129" s="2" t="str">
        <x:f>TEXT(B129,"yyyy-mm")</x:f>
        <x:v>2026-08</x:v>
      </x:c>
      <x:c r="N129" s="2"/>
      <x:c r="O129" s="2"/>
      <x:c r="P129" s="2"/>
    </x:row>
    <x:row r="130" ht="26" customHeight="1">
      <x:c r="A130" s="2" t="str">
        <x:v>O129</x:v>
      </x:c>
      <x:c r="B130" s="7" t="d">
        <x:v>2026-08-17T00:00:00.000Z</x:v>
      </x:c>
      <x:c r="C130" s="2" t="str">
        <x:v>Термокружка</x:v>
      </x:c>
      <x:c r="D130" s="2" t="str">
        <x:v>Соцсети</x:v>
      </x:c>
      <x:c r="E130" s="29" t="n">
        <x:v>2</x:v>
      </x:c>
      <x:c r="F130" s="8" t="n">
        <x:v>1600</x:v>
      </x:c>
      <x:c r="G130" s="8" t="n">
        <x:v>96</x:v>
      </x:c>
      <x:c r="H130" s="8" t="n">
        <x:v>650</x:v>
      </x:c>
      <x:c r="I130" s="2" t="str">
        <x:v>оплачен</x:v>
      </x:c>
      <x:c r="J130" s="8" t="n">
        <x:f>IF(I130="оплачен",E130*F130-G130,0)</x:f>
        <x:v>3104</x:v>
      </x:c>
      <x:c r="K130" s="8"/>
      <x:c r="L130" s="8" t="n">
        <x:f>J130-K130</x:f>
        <x:v>3104</x:v>
      </x:c>
      <x:c r="M130" s="2" t="str">
        <x:f>TEXT(B130,"yyyy-mm")</x:f>
        <x:v>2026-08</x:v>
      </x:c>
      <x:c r="N130" s="2"/>
      <x:c r="O130" s="2"/>
      <x:c r="P130" s="2"/>
    </x:row>
    <x:row r="131" ht="26" customHeight="1">
      <x:c r="A131" s="2" t="str">
        <x:v>O130</x:v>
      </x:c>
      <x:c r="B131" s="7" t="d">
        <x:v>2026-08-18T00:00:00.000Z</x:v>
      </x:c>
      <x:c r="C131" s="2" t="str">
        <x:v>Рюкзак</x:v>
      </x:c>
      <x:c r="D131" s="2" t="str">
        <x:v>Соцсети</x:v>
      </x:c>
      <x:c r="E131" s="29" t="n">
        <x:v>1</x:v>
      </x:c>
      <x:c r="F131" s="8" t="n">
        <x:v>3600</x:v>
      </x:c>
      <x:c r="G131" s="8" t="n">
        <x:v>108</x:v>
      </x:c>
      <x:c r="H131" s="8" t="n">
        <x:v>1900</x:v>
      </x:c>
      <x:c r="I131" s="2" t="str">
        <x:v>оплачен</x:v>
      </x:c>
      <x:c r="J131" s="8" t="n">
        <x:f>IF(I131="оплачен",E131*F131-G131,0)</x:f>
        <x:v>3492</x:v>
      </x:c>
      <x:c r="K131" s="8"/>
      <x:c r="L131" s="8" t="n">
        <x:f>J131-K131</x:f>
        <x:v>3492</x:v>
      </x:c>
      <x:c r="M131" s="2" t="str">
        <x:f>TEXT(B131,"yyyy-mm")</x:f>
        <x:v>2026-08</x:v>
      </x:c>
      <x:c r="N131" s="2"/>
      <x:c r="O131" s="2"/>
      <x:c r="P131" s="2"/>
    </x:row>
    <x:row r="132" ht="26" customHeight="1">
      <x:c r="A132" s="2" t="str">
        <x:v>O131</x:v>
      </x:c>
      <x:c r="B132" s="7" t="d">
        <x:v>2026-08-19T00:00:00.000Z</x:v>
      </x:c>
      <x:c r="C132" s="2" t="str">
        <x:v>Планер</x:v>
      </x:c>
      <x:c r="D132" s="2" t="str">
        <x:v>Соцсети</x:v>
      </x:c>
      <x:c r="E132" s="29" t="n">
        <x:v>4</x:v>
      </x:c>
      <x:c r="F132" s="8" t="n">
        <x:v>800</x:v>
      </x:c>
      <x:c r="G132" s="8" t="n">
        <x:v>96</x:v>
      </x:c>
      <x:c r="H132" s="8" t="n">
        <x:v>280</x:v>
      </x:c>
      <x:c r="I132" s="2" t="str">
        <x:v>отменён</x:v>
      </x:c>
      <x:c r="J132" s="8" t="n">
        <x:f>IF(I132="оплачен",E132*F132-G132,0)</x:f>
        <x:v>0</x:v>
      </x:c>
      <x:c r="K132" s="8"/>
      <x:c r="L132" s="8" t="n">
        <x:f>J132-K132</x:f>
        <x:v>0</x:v>
      </x:c>
      <x:c r="M132" s="2" t="str">
        <x:f>TEXT(B132,"yyyy-mm")</x:f>
        <x:v>2026-08</x:v>
      </x:c>
      <x:c r="N132" s="2"/>
      <x:c r="O132" s="2"/>
      <x:c r="P132" s="2"/>
    </x:row>
    <x:row r="133" ht="26" customHeight="1">
      <x:c r="A133" s="2" t="str">
        <x:v>O132</x:v>
      </x:c>
      <x:c r="B133" s="7" t="d">
        <x:v>2026-08-20T00:00:00.000Z</x:v>
      </x:c>
      <x:c r="C133" s="2" t="str">
        <x:v>Настольная лампа</x:v>
      </x:c>
      <x:c r="D133" s="2" t="str">
        <x:v>Маркетплейс</x:v>
      </x:c>
      <x:c r="E133" s="29" t="n">
        <x:v>1</x:v>
      </x:c>
      <x:c r="F133" s="8" t="n">
        <x:v>2900</x:v>
      </x:c>
      <x:c r="G133" s="8" t="n">
        <x:v>348</x:v>
      </x:c>
      <x:c r="H133" s="8" t="n">
        <x:v>1700</x:v>
      </x:c>
      <x:c r="I133" s="2" t="str">
        <x:v>оплачен</x:v>
      </x:c>
      <x:c r="J133" s="8" t="n">
        <x:f>IF(I133="оплачен",E133*F133-G133,0)</x:f>
        <x:v>2552</x:v>
      </x:c>
      <x:c r="K133" s="8"/>
      <x:c r="L133" s="8" t="n">
        <x:f>J133-K133</x:f>
        <x:v>2552</x:v>
      </x:c>
      <x:c r="M133" s="2" t="str">
        <x:f>TEXT(B133,"yyyy-mm")</x:f>
        <x:v>2026-08</x:v>
      </x:c>
      <x:c r="N133" s="2"/>
      <x:c r="O133" s="2"/>
      <x:c r="P133" s="2"/>
    </x:row>
    <x:row r="134" ht="26" customHeight="1">
      <x:c r="A134" s="2" t="str">
        <x:v>O133</x:v>
      </x:c>
      <x:c r="B134" s="7" t="d">
        <x:v>2026-08-21T00:00:00.000Z</x:v>
      </x:c>
      <x:c r="C134" s="2" t="str">
        <x:v>Планер</x:v>
      </x:c>
      <x:c r="D134" s="2" t="str">
        <x:v>Сайт</x:v>
      </x:c>
      <x:c r="E134" s="29" t="n">
        <x:v>4</x:v>
      </x:c>
      <x:c r="F134" s="8" t="n">
        <x:v>800</x:v>
      </x:c>
      <x:c r="G134" s="8" t="n">
        <x:v>96</x:v>
      </x:c>
      <x:c r="H134" s="8" t="n">
        <x:v>280</x:v>
      </x:c>
      <x:c r="I134" s="2" t="str">
        <x:v>оплачен</x:v>
      </x:c>
      <x:c r="J134" s="8" t="n">
        <x:f>IF(I134="оплачен",E134*F134-G134,0)</x:f>
        <x:v>3104</x:v>
      </x:c>
      <x:c r="K134" s="8"/>
      <x:c r="L134" s="8" t="n">
        <x:f>J134-K134</x:f>
        <x:v>3104</x:v>
      </x:c>
      <x:c r="M134" s="2" t="str">
        <x:f>TEXT(B134,"yyyy-mm")</x:f>
        <x:v>2026-08</x:v>
      </x:c>
      <x:c r="N134" s="2"/>
      <x:c r="O134" s="2"/>
      <x:c r="P134" s="2"/>
    </x:row>
    <x:row r="135" ht="26" customHeight="1">
      <x:c r="A135" s="2" t="str">
        <x:v>O134</x:v>
      </x:c>
      <x:c r="B135" s="7" t="d">
        <x:v>2026-08-22T00:00:00.000Z</x:v>
      </x:c>
      <x:c r="C135" s="2" t="str">
        <x:v>Настольная лампа</x:v>
      </x:c>
      <x:c r="D135" s="2" t="str">
        <x:v>Маркетплейс</x:v>
      </x:c>
      <x:c r="E135" s="29" t="n">
        <x:v>3</x:v>
      </x:c>
      <x:c r="F135" s="8" t="n">
        <x:v>2900</x:v>
      </x:c>
      <x:c r="G135" s="8" t="n">
        <x:v>1044</x:v>
      </x:c>
      <x:c r="H135" s="8" t="n">
        <x:v>1700</x:v>
      </x:c>
      <x:c r="I135" s="2" t="str">
        <x:v>оплачен</x:v>
      </x:c>
      <x:c r="J135" s="8" t="n">
        <x:f>IF(I135="оплачен",E135*F135-G135,0)</x:f>
        <x:v>7656</x:v>
      </x:c>
      <x:c r="K135" s="8"/>
      <x:c r="L135" s="8" t="n">
        <x:f>J135-K135</x:f>
        <x:v>7656</x:v>
      </x:c>
      <x:c r="M135" s="2" t="str">
        <x:f>TEXT(B135,"yyyy-mm")</x:f>
        <x:v>2026-08</x:v>
      </x:c>
      <x:c r="N135" s="2"/>
      <x:c r="O135" s="2"/>
      <x:c r="P135" s="2"/>
    </x:row>
    <x:row r="136" ht="26" customHeight="1">
      <x:c r="A136" s="2" t="str">
        <x:v>O135</x:v>
      </x:c>
      <x:c r="B136" s="7" t="d">
        <x:v>2026-08-23T00:00:00.000Z</x:v>
      </x:c>
      <x:c r="C136" s="2" t="str">
        <x:v>Настольная лампа</x:v>
      </x:c>
      <x:c r="D136" s="2" t="str">
        <x:v>Маркетплейс</x:v>
      </x:c>
      <x:c r="E136" s="29" t="n">
        <x:v>4</x:v>
      </x:c>
      <x:c r="F136" s="8" t="n">
        <x:v>2900</x:v>
      </x:c>
      <x:c r="G136" s="8" t="n">
        <x:v>1392</x:v>
      </x:c>
      <x:c r="H136" s="8" t="n">
        <x:v>1700</x:v>
      </x:c>
      <x:c r="I136" s="2" t="str">
        <x:v>оплачен</x:v>
      </x:c>
      <x:c r="J136" s="8" t="n">
        <x:f>IF(I136="оплачен",E136*F136-G136,0)</x:f>
        <x:v>10208</x:v>
      </x:c>
      <x:c r="K136" s="8"/>
      <x:c r="L136" s="8" t="n">
        <x:f>J136-K136</x:f>
        <x:v>10208</x:v>
      </x:c>
      <x:c r="M136" s="2" t="str">
        <x:f>TEXT(B136,"yyyy-mm")</x:f>
        <x:v>2026-08</x:v>
      </x:c>
      <x:c r="N136" s="2"/>
      <x:c r="O136" s="2"/>
      <x:c r="P136" s="2"/>
    </x:row>
    <x:row r="137" ht="26" customHeight="1">
      <x:c r="A137" s="2" t="str">
        <x:v>O136</x:v>
      </x:c>
      <x:c r="B137" s="7" t="d">
        <x:v>2026-08-24T00:00:00.000Z</x:v>
      </x:c>
      <x:c r="C137" s="2" t="str">
        <x:v>Планер</x:v>
      </x:c>
      <x:c r="D137" s="2" t="str">
        <x:v>Маркетплейс</x:v>
      </x:c>
      <x:c r="E137" s="29" t="n">
        <x:v>2</x:v>
      </x:c>
      <x:c r="F137" s="8" t="n">
        <x:v>800</x:v>
      </x:c>
      <x:c r="G137" s="8" t="n">
        <x:v>192</x:v>
      </x:c>
      <x:c r="H137" s="8" t="n">
        <x:v>280</x:v>
      </x:c>
      <x:c r="I137" s="2" t="str">
        <x:v>оплачен</x:v>
      </x:c>
      <x:c r="J137" s="8" t="n">
        <x:f>IF(I137="оплачен",E137*F137-G137,0)</x:f>
        <x:v>1408</x:v>
      </x:c>
      <x:c r="K137" s="8"/>
      <x:c r="L137" s="8" t="n">
        <x:f>J137-K137</x:f>
        <x:v>1408</x:v>
      </x:c>
      <x:c r="M137" s="2" t="str">
        <x:f>TEXT(B137,"yyyy-mm")</x:f>
        <x:v>2026-08</x:v>
      </x:c>
      <x:c r="N137" s="2"/>
      <x:c r="O137" s="2"/>
      <x:c r="P137" s="2"/>
    </x:row>
    <x:row r="138" ht="26" customHeight="1">
      <x:c r="A138" s="2" t="str">
        <x:v>O137</x:v>
      </x:c>
      <x:c r="B138" s="7" t="d">
        <x:v>2026-08-25T00:00:00.000Z</x:v>
      </x:c>
      <x:c r="C138" s="2" t="str">
        <x:v>Планер</x:v>
      </x:c>
      <x:c r="D138" s="2" t="str">
        <x:v>Маркетплейс</x:v>
      </x:c>
      <x:c r="E138" s="29" t="n">
        <x:v>1</x:v>
      </x:c>
      <x:c r="F138" s="8" t="n">
        <x:v>800</x:v>
      </x:c>
      <x:c r="G138" s="8" t="n">
        <x:v>96</x:v>
      </x:c>
      <x:c r="H138" s="8" t="n">
        <x:v>280</x:v>
      </x:c>
      <x:c r="I138" s="2" t="str">
        <x:v>возвращён</x:v>
      </x:c>
      <x:c r="J138" s="8" t="n">
        <x:f>IF(I138="оплачен",E138*F138-G138,0)</x:f>
        <x:v>0</x:v>
      </x:c>
      <x:c r="K138" s="8"/>
      <x:c r="L138" s="8" t="n">
        <x:f>J138-K138</x:f>
        <x:v>0</x:v>
      </x:c>
      <x:c r="M138" s="2" t="str">
        <x:f>TEXT(B138,"yyyy-mm")</x:f>
        <x:v>2026-08</x:v>
      </x:c>
      <x:c r="N138" s="2"/>
      <x:c r="O138" s="2"/>
      <x:c r="P138" s="2"/>
    </x:row>
    <x:row r="139" ht="26" customHeight="1">
      <x:c r="A139" s="2" t="str">
        <x:v>O138</x:v>
      </x:c>
      <x:c r="B139" s="7" t="d">
        <x:v>2026-08-26T00:00:00.000Z</x:v>
      </x:c>
      <x:c r="C139" s="2" t="str">
        <x:v>Планер</x:v>
      </x:c>
      <x:c r="D139" s="2" t="str">
        <x:v>Маркетплейс</x:v>
      </x:c>
      <x:c r="E139" s="29" t="n">
        <x:v>1</x:v>
      </x:c>
      <x:c r="F139" s="8" t="n">
        <x:v>800</x:v>
      </x:c>
      <x:c r="G139" s="8" t="n">
        <x:v>96</x:v>
      </x:c>
      <x:c r="H139" s="8" t="n">
        <x:v>280</x:v>
      </x:c>
      <x:c r="I139" s="2" t="str">
        <x:v>оплачен</x:v>
      </x:c>
      <x:c r="J139" s="8" t="n">
        <x:f>IF(I139="оплачен",E139*F139-G139,0)</x:f>
        <x:v>704</x:v>
      </x:c>
      <x:c r="K139" s="8"/>
      <x:c r="L139" s="8" t="n">
        <x:f>J139-K139</x:f>
        <x:v>704</x:v>
      </x:c>
      <x:c r="M139" s="2" t="str">
        <x:f>TEXT(B139,"yyyy-mm")</x:f>
        <x:v>2026-08</x:v>
      </x:c>
      <x:c r="N139" s="2"/>
      <x:c r="O139" s="2"/>
      <x:c r="P139" s="2"/>
    </x:row>
    <x:row r="140" ht="26" customHeight="1">
      <x:c r="A140" s="2" t="str">
        <x:v>O139</x:v>
      </x:c>
      <x:c r="B140" s="7" t="d">
        <x:v>2026-08-27T00:00:00.000Z</x:v>
      </x:c>
      <x:c r="C140" s="2" t="str">
        <x:v>Настольная лампа</x:v>
      </x:c>
      <x:c r="D140" s="2" t="str">
        <x:v>Маркетплейс</x:v>
      </x:c>
      <x:c r="E140" s="29" t="n">
        <x:v>4</x:v>
      </x:c>
      <x:c r="F140" s="8" t="n">
        <x:v>2900</x:v>
      </x:c>
      <x:c r="G140" s="8" t="n">
        <x:v>1392</x:v>
      </x:c>
      <x:c r="H140" s="8" t="n">
        <x:v>1700</x:v>
      </x:c>
      <x:c r="I140" s="2" t="str">
        <x:v>оплачен</x:v>
      </x:c>
      <x:c r="J140" s="8" t="n">
        <x:f>IF(I140="оплачен",E140*F140-G140,0)</x:f>
        <x:v>10208</x:v>
      </x:c>
      <x:c r="K140" s="8"/>
      <x:c r="L140" s="8" t="n">
        <x:f>J140-K140</x:f>
        <x:v>10208</x:v>
      </x:c>
      <x:c r="M140" s="2" t="str">
        <x:f>TEXT(B140,"yyyy-mm")</x:f>
        <x:v>2026-08</x:v>
      </x:c>
      <x:c r="N140" s="2"/>
      <x:c r="O140" s="2"/>
      <x:c r="P140" s="2"/>
    </x:row>
    <x:row r="141" ht="26" customHeight="1">
      <x:c r="A141" s="2" t="str">
        <x:v>O140</x:v>
      </x:c>
      <x:c r="B141" s="7" t="d">
        <x:v>2026-08-28T00:00:00.000Z</x:v>
      </x:c>
      <x:c r="C141" s="2" t="str">
        <x:v>Планер</x:v>
      </x:c>
      <x:c r="D141" s="2" t="str">
        <x:v>Маркетплейс</x:v>
      </x:c>
      <x:c r="E141" s="29" t="n">
        <x:v>1</x:v>
      </x:c>
      <x:c r="F141" s="8" t="n">
        <x:v>800</x:v>
      </x:c>
      <x:c r="G141" s="8" t="n">
        <x:v>96</x:v>
      </x:c>
      <x:c r="H141" s="8" t="n">
        <x:v>280</x:v>
      </x:c>
      <x:c r="I141" s="2" t="str">
        <x:v>оплачен</x:v>
      </x:c>
      <x:c r="J141" s="8" t="n">
        <x:f>IF(I141="оплачен",E141*F141-G141,0)</x:f>
        <x:v>704</x:v>
      </x:c>
      <x:c r="K141" s="8"/>
      <x:c r="L141" s="8" t="n">
        <x:f>J141-K141</x:f>
        <x:v>704</x:v>
      </x:c>
      <x:c r="M141" s="2" t="str">
        <x:f>TEXT(B141,"yyyy-mm")</x:f>
        <x:v>2026-08</x:v>
      </x:c>
      <x:c r="N141" s="2"/>
      <x:c r="O141" s="2"/>
      <x:c r="P141" s="2"/>
    </x:row>
    <x:row r="142" ht="26" customHeight="1">
      <x:c r="A142" s="2" t="str">
        <x:v>O141</x:v>
      </x:c>
      <x:c r="B142" s="7" t="d">
        <x:v>2026-08-01T00:00:00.000Z</x:v>
      </x:c>
      <x:c r="C142" s="2" t="str">
        <x:v>Планер</x:v>
      </x:c>
      <x:c r="D142" s="2" t="str">
        <x:v>Соцсети</x:v>
      </x:c>
      <x:c r="E142" s="29" t="n">
        <x:v>2</x:v>
      </x:c>
      <x:c r="F142" s="8" t="n">
        <x:v>800</x:v>
      </x:c>
      <x:c r="G142" s="8" t="n">
        <x:v>48</x:v>
      </x:c>
      <x:c r="H142" s="8" t="n">
        <x:v>280</x:v>
      </x:c>
      <x:c r="I142" s="2" t="str">
        <x:v>оплачен</x:v>
      </x:c>
      <x:c r="J142" s="8" t="n">
        <x:f>IF(I142="оплачен",E142*F142-G142,0)</x:f>
        <x:v>1552</x:v>
      </x:c>
      <x:c r="K142" s="8"/>
      <x:c r="L142" s="8" t="n">
        <x:f>J142-K142</x:f>
        <x:v>1552</x:v>
      </x:c>
      <x:c r="M142" s="2" t="str">
        <x:f>TEXT(B142,"yyyy-mm")</x:f>
        <x:v>2026-08</x:v>
      </x:c>
      <x:c r="N142" s="2"/>
      <x:c r="O142" s="2"/>
      <x:c r="P142" s="2"/>
    </x:row>
    <x:row r="143" ht="26" customHeight="1">
      <x:c r="A143" s="2" t="str">
        <x:v>O142</x:v>
      </x:c>
      <x:c r="B143" s="7" t="d">
        <x:v>2026-08-02T00:00:00.000Z</x:v>
      </x:c>
      <x:c r="C143" s="2" t="str">
        <x:v>Настольная лампа</x:v>
      </x:c>
      <x:c r="D143" s="2" t="str">
        <x:v>Маркетплейс</x:v>
      </x:c>
      <x:c r="E143" s="29" t="n">
        <x:v>3</x:v>
      </x:c>
      <x:c r="F143" s="8" t="n">
        <x:v>2900</x:v>
      </x:c>
      <x:c r="G143" s="8" t="n">
        <x:v>1044</x:v>
      </x:c>
      <x:c r="H143" s="8" t="n">
        <x:v>1700</x:v>
      </x:c>
      <x:c r="I143" s="2" t="str">
        <x:v>оплачен</x:v>
      </x:c>
      <x:c r="J143" s="8" t="n">
        <x:f>IF(I143="оплачен",E143*F143-G143,0)</x:f>
        <x:v>7656</x:v>
      </x:c>
      <x:c r="K143" s="8"/>
      <x:c r="L143" s="8" t="n">
        <x:f>J143-K143</x:f>
        <x:v>7656</x:v>
      </x:c>
      <x:c r="M143" s="2" t="str">
        <x:f>TEXT(B143,"yyyy-mm")</x:f>
        <x:v>2026-08</x:v>
      </x:c>
      <x:c r="N143" s="2"/>
      <x:c r="O143" s="2"/>
      <x:c r="P143" s="2"/>
    </x:row>
    <x:row r="144" ht="26" customHeight="1">
      <x:c r="A144" s="2" t="str">
        <x:v>O143</x:v>
      </x:c>
      <x:c r="B144" s="7" t="d">
        <x:v>2026-08-03T00:00:00.000Z</x:v>
      </x:c>
      <x:c r="C144" s="2" t="str">
        <x:v>Планер</x:v>
      </x:c>
      <x:c r="D144" s="2" t="str">
        <x:v>Маркетплейс</x:v>
      </x:c>
      <x:c r="E144" s="29" t="n">
        <x:v>2</x:v>
      </x:c>
      <x:c r="F144" s="8" t="n">
        <x:v>800</x:v>
      </x:c>
      <x:c r="G144" s="8" t="n">
        <x:v>192</x:v>
      </x:c>
      <x:c r="H144" s="8" t="n">
        <x:v>280</x:v>
      </x:c>
      <x:c r="I144" s="2" t="str">
        <x:v>оплачен</x:v>
      </x:c>
      <x:c r="J144" s="8" t="n">
        <x:f>IF(I144="оплачен",E144*F144-G144,0)</x:f>
        <x:v>1408</x:v>
      </x:c>
      <x:c r="K144" s="8"/>
      <x:c r="L144" s="8" t="n">
        <x:f>J144-K144</x:f>
        <x:v>1408</x:v>
      </x:c>
      <x:c r="M144" s="2" t="str">
        <x:f>TEXT(B144,"yyyy-mm")</x:f>
        <x:v>2026-08</x:v>
      </x:c>
      <x:c r="N144" s="2"/>
      <x:c r="O144" s="2"/>
      <x:c r="P144" s="2"/>
    </x:row>
    <x:row r="145" ht="26" customHeight="1">
      <x:c r="A145" s="2" t="str">
        <x:v>O144</x:v>
      </x:c>
      <x:c r="B145" s="7" t="d">
        <x:v>2026-08-04T00:00:00.000Z</x:v>
      </x:c>
      <x:c r="C145" s="2" t="str">
        <x:v>Планер</x:v>
      </x:c>
      <x:c r="D145" s="2" t="str">
        <x:v>Маркетплейс</x:v>
      </x:c>
      <x:c r="E145" s="29" t="n">
        <x:v>4</x:v>
      </x:c>
      <x:c r="F145" s="8" t="n">
        <x:v>800</x:v>
      </x:c>
      <x:c r="G145" s="8" t="n">
        <x:v>384</x:v>
      </x:c>
      <x:c r="H145" s="8" t="n">
        <x:v>280</x:v>
      </x:c>
      <x:c r="I145" s="2" t="str">
        <x:v>отменён</x:v>
      </x:c>
      <x:c r="J145" s="8" t="n">
        <x:f>IF(I145="оплачен",E145*F145-G145,0)</x:f>
        <x:v>0</x:v>
      </x:c>
      <x:c r="K145" s="8"/>
      <x:c r="L145" s="8" t="n">
        <x:f>J145-K145</x:f>
        <x:v>0</x:v>
      </x:c>
      <x:c r="M145" s="2" t="str">
        <x:f>TEXT(B145,"yyyy-mm")</x:f>
        <x:v>2026-08</x:v>
      </x:c>
      <x:c r="N145" s="2"/>
      <x:c r="O145" s="2"/>
      <x:c r="P145" s="2"/>
    </x:row>
    <x:row r="146" ht="26" customHeight="1">
      <x:c r="A146" s="2" t="str">
        <x:v>O145</x:v>
      </x:c>
      <x:c r="B146" s="7" t="d">
        <x:v>2026-08-05T00:00:00.000Z</x:v>
      </x:c>
      <x:c r="C146" s="2" t="str">
        <x:v>Настольная лампа</x:v>
      </x:c>
      <x:c r="D146" s="2" t="str">
        <x:v>Соцсети</x:v>
      </x:c>
      <x:c r="E146" s="29" t="n">
        <x:v>3</x:v>
      </x:c>
      <x:c r="F146" s="8" t="n">
        <x:v>2900</x:v>
      </x:c>
      <x:c r="G146" s="8" t="n">
        <x:v>261</x:v>
      </x:c>
      <x:c r="H146" s="8" t="n">
        <x:v>1700</x:v>
      </x:c>
      <x:c r="I146" s="2" t="str">
        <x:v>оплачен</x:v>
      </x:c>
      <x:c r="J146" s="8" t="n">
        <x:f>IF(I146="оплачен",E146*F146-G146,0)</x:f>
        <x:v>8439</x:v>
      </x:c>
      <x:c r="K146" s="8"/>
      <x:c r="L146" s="8" t="n">
        <x:f>J146-K146</x:f>
        <x:v>8439</x:v>
      </x:c>
      <x:c r="M146" s="2" t="str">
        <x:f>TEXT(B146,"yyyy-mm")</x:f>
        <x:v>2026-08</x:v>
      </x:c>
      <x:c r="N146" s="2"/>
      <x:c r="O146" s="2"/>
      <x:c r="P146" s="2"/>
    </x:row>
    <x:row r="147" ht="26" customHeight="1">
      <x:c r="A147" s="2" t="str">
        <x:v>O146</x:v>
      </x:c>
      <x:c r="B147" s="7" t="d">
        <x:v>2026-08-06T00:00:00.000Z</x:v>
      </x:c>
      <x:c r="C147" s="2" t="str">
        <x:v>Рюкзак</x:v>
      </x:c>
      <x:c r="D147" s="2" t="str">
        <x:v>Маркетплейс</x:v>
      </x:c>
      <x:c r="E147" s="29" t="n">
        <x:v>4</x:v>
      </x:c>
      <x:c r="F147" s="8" t="n">
        <x:v>3600</x:v>
      </x:c>
      <x:c r="G147" s="8" t="n">
        <x:v>1728</x:v>
      </x:c>
      <x:c r="H147" s="8" t="n">
        <x:v>1900</x:v>
      </x:c>
      <x:c r="I147" s="2" t="str">
        <x:v>оплачен</x:v>
      </x:c>
      <x:c r="J147" s="8" t="n">
        <x:f>IF(I147="оплачен",E147*F147-G147,0)</x:f>
        <x:v>12672</x:v>
      </x:c>
      <x:c r="K147" s="8"/>
      <x:c r="L147" s="8" t="n">
        <x:f>J147-K147</x:f>
        <x:v>12672</x:v>
      </x:c>
      <x:c r="M147" s="2" t="str">
        <x:f>TEXT(B147,"yyyy-mm")</x:f>
        <x:v>2026-08</x:v>
      </x:c>
      <x:c r="N147" s="2"/>
      <x:c r="O147" s="2"/>
      <x:c r="P147" s="2"/>
    </x:row>
    <x:row r="148" ht="26" customHeight="1">
      <x:c r="A148" s="2" t="str">
        <x:v>O147</x:v>
      </x:c>
      <x:c r="B148" s="7" t="d">
        <x:v>2026-08-07T00:00:00.000Z</x:v>
      </x:c>
      <x:c r="C148" s="2" t="str">
        <x:v>Рюкзак</x:v>
      </x:c>
      <x:c r="D148" s="2" t="str">
        <x:v>Маркетплейс</x:v>
      </x:c>
      <x:c r="E148" s="29" t="n">
        <x:v>1</x:v>
      </x:c>
      <x:c r="F148" s="8" t="n">
        <x:v>3600</x:v>
      </x:c>
      <x:c r="G148" s="8" t="n">
        <x:v>432</x:v>
      </x:c>
      <x:c r="H148" s="8" t="n">
        <x:v>1900</x:v>
      </x:c>
      <x:c r="I148" s="2" t="str">
        <x:v>оплачен</x:v>
      </x:c>
      <x:c r="J148" s="8" t="n">
        <x:f>IF(I148="оплачен",E148*F148-G148,0)</x:f>
        <x:v>3168</x:v>
      </x:c>
      <x:c r="K148" s="8"/>
      <x:c r="L148" s="8" t="n">
        <x:f>J148-K148</x:f>
        <x:v>3168</x:v>
      </x:c>
      <x:c r="M148" s="2" t="str">
        <x:f>TEXT(B148,"yyyy-mm")</x:f>
        <x:v>2026-08</x:v>
      </x:c>
      <x:c r="N148" s="2"/>
      <x:c r="O148" s="2"/>
      <x:c r="P148" s="2"/>
    </x:row>
    <x:row r="149" ht="26" customHeight="1">
      <x:c r="A149" s="2" t="str">
        <x:v>O148</x:v>
      </x:c>
      <x:c r="B149" s="7" t="d">
        <x:v>2026-08-08T00:00:00.000Z</x:v>
      </x:c>
      <x:c r="C149" s="2" t="str">
        <x:v>Планер</x:v>
      </x:c>
      <x:c r="D149" s="2" t="str">
        <x:v>Соцсети</x:v>
      </x:c>
      <x:c r="E149" s="29" t="n">
        <x:v>1</x:v>
      </x:c>
      <x:c r="F149" s="8" t="n">
        <x:v>800</x:v>
      </x:c>
      <x:c r="G149" s="8" t="n">
        <x:v>24</x:v>
      </x:c>
      <x:c r="H149" s="8" t="n">
        <x:v>280</x:v>
      </x:c>
      <x:c r="I149" s="2" t="str">
        <x:v>оплачен</x:v>
      </x:c>
      <x:c r="J149" s="8" t="n">
        <x:f>IF(I149="оплачен",E149*F149-G149,0)</x:f>
        <x:v>776</x:v>
      </x:c>
      <x:c r="K149" s="8"/>
      <x:c r="L149" s="8" t="n">
        <x:f>J149-K149</x:f>
        <x:v>776</x:v>
      </x:c>
      <x:c r="M149" s="2" t="str">
        <x:f>TEXT(B149,"yyyy-mm")</x:f>
        <x:v>2026-08</x:v>
      </x:c>
      <x:c r="N149" s="2"/>
      <x:c r="O149" s="2"/>
      <x:c r="P149" s="2"/>
    </x:row>
    <x:row r="150" ht="26" customHeight="1">
      <x:c r="A150" s="2" t="str">
        <x:v>O149</x:v>
      </x:c>
      <x:c r="B150" s="7" t="d">
        <x:v>2026-08-09T00:00:00.000Z</x:v>
      </x:c>
      <x:c r="C150" s="2" t="str">
        <x:v>Рюкзак</x:v>
      </x:c>
      <x:c r="D150" s="2" t="str">
        <x:v>Маркетплейс</x:v>
      </x:c>
      <x:c r="E150" s="29" t="n">
        <x:v>1</x:v>
      </x:c>
      <x:c r="F150" s="8" t="n">
        <x:v>3600</x:v>
      </x:c>
      <x:c r="G150" s="8" t="n">
        <x:v>432</x:v>
      </x:c>
      <x:c r="H150" s="8" t="n">
        <x:v>1900</x:v>
      </x:c>
      <x:c r="I150" s="2" t="str">
        <x:v>оплачен</x:v>
      </x:c>
      <x:c r="J150" s="8" t="n">
        <x:f>IF(I150="оплачен",E150*F150-G150,0)</x:f>
        <x:v>3168</x:v>
      </x:c>
      <x:c r="K150" s="8"/>
      <x:c r="L150" s="8" t="n">
        <x:f>J150-K150</x:f>
        <x:v>3168</x:v>
      </x:c>
      <x:c r="M150" s="2" t="str">
        <x:f>TEXT(B150,"yyyy-mm")</x:f>
        <x:v>2026-08</x:v>
      </x:c>
      <x:c r="N150" s="2"/>
      <x:c r="O150" s="2"/>
      <x:c r="P150" s="2"/>
    </x:row>
    <x:row r="151" ht="26" customHeight="1">
      <x:c r="A151" s="2" t="str">
        <x:v>O150</x:v>
      </x:c>
      <x:c r="B151" s="7" t="d">
        <x:v>2026-08-10T00:00:00.000Z</x:v>
      </x:c>
      <x:c r="C151" s="2" t="str">
        <x:v>Термокружка</x:v>
      </x:c>
      <x:c r="D151" s="2" t="str">
        <x:v>Соцсети</x:v>
      </x:c>
      <x:c r="E151" s="29" t="n">
        <x:v>1</x:v>
      </x:c>
      <x:c r="F151" s="8" t="n">
        <x:v>1600</x:v>
      </x:c>
      <x:c r="G151" s="8" t="n">
        <x:v>48</x:v>
      </x:c>
      <x:c r="H151" s="8" t="n">
        <x:v>650</x:v>
      </x:c>
      <x:c r="I151" s="2" t="str">
        <x:v>оплачен</x:v>
      </x:c>
      <x:c r="J151" s="8" t="n">
        <x:f>IF(I151="оплачен",E151*F151-G151,0)</x:f>
        <x:v>1552</x:v>
      </x:c>
      <x:c r="K151" s="8"/>
      <x:c r="L151" s="8" t="n">
        <x:f>J151-K151</x:f>
        <x:v>1552</x:v>
      </x:c>
      <x:c r="M151" s="2" t="str">
        <x:f>TEXT(B151,"yyyy-mm")</x:f>
        <x:v>2026-08</x:v>
      </x:c>
      <x:c r="N151" s="2"/>
      <x:c r="O151" s="2"/>
      <x:c r="P151" s="2"/>
    </x:row>
    <x:row r="152" ht="26" customHeight="1">
      <x:c r="A152" s="2" t="str">
        <x:v>O151</x:v>
      </x:c>
      <x:c r="B152" s="7" t="d">
        <x:v>2026-08-11T00:00:00.000Z</x:v>
      </x:c>
      <x:c r="C152" s="2" t="str">
        <x:v>Термокружка</x:v>
      </x:c>
      <x:c r="D152" s="2" t="str">
        <x:v>Маркетплейс</x:v>
      </x:c>
      <x:c r="E152" s="29" t="n">
        <x:v>3</x:v>
      </x:c>
      <x:c r="F152" s="8" t="n">
        <x:v>1600</x:v>
      </x:c>
      <x:c r="G152" s="8" t="n">
        <x:v>576</x:v>
      </x:c>
      <x:c r="H152" s="8" t="n">
        <x:v>650</x:v>
      </x:c>
      <x:c r="I152" s="2" t="str">
        <x:v>оплачен</x:v>
      </x:c>
      <x:c r="J152" s="8" t="n">
        <x:f>IF(I152="оплачен",E152*F152-G152,0)</x:f>
        <x:v>4224</x:v>
      </x:c>
      <x:c r="K152" s="8"/>
      <x:c r="L152" s="8" t="n">
        <x:f>J152-K152</x:f>
        <x:v>4224</x:v>
      </x:c>
      <x:c r="M152" s="2" t="str">
        <x:f>TEXT(B152,"yyyy-mm")</x:f>
        <x:v>2026-08</x:v>
      </x:c>
      <x:c r="N152" s="2"/>
      <x:c r="O152" s="2"/>
      <x:c r="P152" s="2"/>
    </x:row>
    <x:row r="153" ht="26" customHeight="1">
      <x:c r="A153" s="2" t="str">
        <x:v>O152</x:v>
      </x:c>
      <x:c r="B153" s="7" t="d">
        <x:v>2026-08-12T00:00:00.000Z</x:v>
      </x:c>
      <x:c r="C153" s="2" t="str">
        <x:v>Термокружка</x:v>
      </x:c>
      <x:c r="D153" s="2" t="str">
        <x:v>Маркетплейс</x:v>
      </x:c>
      <x:c r="E153" s="29" t="n">
        <x:v>2</x:v>
      </x:c>
      <x:c r="F153" s="8" t="n">
        <x:v>1600</x:v>
      </x:c>
      <x:c r="G153" s="8" t="n">
        <x:v>384</x:v>
      </x:c>
      <x:c r="H153" s="8" t="n">
        <x:v>650</x:v>
      </x:c>
      <x:c r="I153" s="2" t="str">
        <x:v>оплачен</x:v>
      </x:c>
      <x:c r="J153" s="8" t="n">
        <x:f>IF(I153="оплачен",E153*F153-G153,0)</x:f>
        <x:v>2816</x:v>
      </x:c>
      <x:c r="K153" s="8"/>
      <x:c r="L153" s="8" t="n">
        <x:f>J153-K153</x:f>
        <x:v>2816</x:v>
      </x:c>
      <x:c r="M153" s="2" t="str">
        <x:f>TEXT(B153,"yyyy-mm")</x:f>
        <x:v>2026-08</x:v>
      </x:c>
      <x:c r="N153" s="2"/>
      <x:c r="O153" s="2"/>
      <x:c r="P153" s="2"/>
    </x:row>
    <x:row r="154" ht="26" customHeight="1">
      <x:c r="A154" s="2" t="str">
        <x:v>O153</x:v>
      </x:c>
      <x:c r="B154" s="7" t="d">
        <x:v>2026-08-13T00:00:00.000Z</x:v>
      </x:c>
      <x:c r="C154" s="2" t="str">
        <x:v>Термокружка</x:v>
      </x:c>
      <x:c r="D154" s="2" t="str">
        <x:v>Соцсети</x:v>
      </x:c>
      <x:c r="E154" s="29" t="n">
        <x:v>2</x:v>
      </x:c>
      <x:c r="F154" s="8" t="n">
        <x:v>1600</x:v>
      </x:c>
      <x:c r="G154" s="8" t="n">
        <x:v>96</x:v>
      </x:c>
      <x:c r="H154" s="8" t="n">
        <x:v>650</x:v>
      </x:c>
      <x:c r="I154" s="2" t="str">
        <x:v>оплачен</x:v>
      </x:c>
      <x:c r="J154" s="8" t="n">
        <x:f>IF(I154="оплачен",E154*F154-G154,0)</x:f>
        <x:v>3104</x:v>
      </x:c>
      <x:c r="K154" s="8"/>
      <x:c r="L154" s="8" t="n">
        <x:f>J154-K154</x:f>
        <x:v>3104</x:v>
      </x:c>
      <x:c r="M154" s="2" t="str">
        <x:f>TEXT(B154,"yyyy-mm")</x:f>
        <x:v>2026-08</x:v>
      </x:c>
      <x:c r="N154" s="2"/>
      <x:c r="O154" s="2"/>
      <x:c r="P154" s="2"/>
    </x:row>
    <x:row r="155" ht="26" customHeight="1">
      <x:c r="A155" s="2" t="str">
        <x:v>O154</x:v>
      </x:c>
      <x:c r="B155" s="7" t="d">
        <x:v>2026-08-14T00:00:00.000Z</x:v>
      </x:c>
      <x:c r="C155" s="2" t="str">
        <x:v>Настольная лампа</x:v>
      </x:c>
      <x:c r="D155" s="2" t="str">
        <x:v>Сайт</x:v>
      </x:c>
      <x:c r="E155" s="29" t="n">
        <x:v>2</x:v>
      </x:c>
      <x:c r="F155" s="8" t="n">
        <x:v>2900</x:v>
      </x:c>
      <x:c r="G155" s="8" t="n">
        <x:v>174</x:v>
      </x:c>
      <x:c r="H155" s="8" t="n">
        <x:v>1700</x:v>
      </x:c>
      <x:c r="I155" s="2" t="str">
        <x:v>возвращён</x:v>
      </x:c>
      <x:c r="J155" s="8" t="n">
        <x:f>IF(I155="оплачен",E155*F155-G155,0)</x:f>
        <x:v>0</x:v>
      </x:c>
      <x:c r="K155" s="8"/>
      <x:c r="L155" s="8" t="n">
        <x:f>J155-K155</x:f>
        <x:v>0</x:v>
      </x:c>
      <x:c r="M155" s="2" t="str">
        <x:f>TEXT(B155,"yyyy-mm")</x:f>
        <x:v>2026-08</x:v>
      </x:c>
      <x:c r="N155" s="2"/>
      <x:c r="O155" s="2"/>
      <x:c r="P155" s="2"/>
    </x:row>
    <x:row r="156" ht="26" customHeight="1">
      <x:c r="A156" s="2" t="str">
        <x:v>O155</x:v>
      </x:c>
      <x:c r="B156" s="7" t="d">
        <x:v>2026-08-15T00:00:00.000Z</x:v>
      </x:c>
      <x:c r="C156" s="2" t="str">
        <x:v>Термокружка</x:v>
      </x:c>
      <x:c r="D156" s="2" t="str">
        <x:v>Сайт</x:v>
      </x:c>
      <x:c r="E156" s="29" t="n">
        <x:v>3</x:v>
      </x:c>
      <x:c r="F156" s="8" t="n">
        <x:v>1600</x:v>
      </x:c>
      <x:c r="G156" s="8" t="n">
        <x:v>144</x:v>
      </x:c>
      <x:c r="H156" s="8" t="n">
        <x:v>650</x:v>
      </x:c>
      <x:c r="I156" s="2" t="str">
        <x:v>оплачен</x:v>
      </x:c>
      <x:c r="J156" s="8" t="n">
        <x:f>IF(I156="оплачен",E156*F156-G156,0)</x:f>
        <x:v>4656</x:v>
      </x:c>
      <x:c r="K156" s="8"/>
      <x:c r="L156" s="8" t="n">
        <x:f>J156-K156</x:f>
        <x:v>4656</x:v>
      </x:c>
      <x:c r="M156" s="2" t="str">
        <x:f>TEXT(B156,"yyyy-mm")</x:f>
        <x:v>2026-08</x:v>
      </x:c>
      <x:c r="N156" s="2"/>
      <x:c r="O156" s="2"/>
      <x:c r="P156" s="2"/>
    </x:row>
    <x:row r="157" ht="26" customHeight="1">
      <x:c r="A157" s="2" t="str">
        <x:v>O156</x:v>
      </x:c>
      <x:c r="B157" s="7" t="d">
        <x:v>2026-08-16T00:00:00.000Z</x:v>
      </x:c>
      <x:c r="C157" s="2" t="str">
        <x:v>Рюкзак</x:v>
      </x:c>
      <x:c r="D157" s="2" t="str">
        <x:v>Маркетплейс</x:v>
      </x:c>
      <x:c r="E157" s="29" t="n">
        <x:v>2</x:v>
      </x:c>
      <x:c r="F157" s="8" t="n">
        <x:v>3600</x:v>
      </x:c>
      <x:c r="G157" s="8" t="n">
        <x:v>864</x:v>
      </x:c>
      <x:c r="H157" s="8" t="n">
        <x:v>1900</x:v>
      </x:c>
      <x:c r="I157" s="2" t="str">
        <x:v>оплачен</x:v>
      </x:c>
      <x:c r="J157" s="8" t="n">
        <x:f>IF(I157="оплачен",E157*F157-G157,0)</x:f>
        <x:v>6336</x:v>
      </x:c>
      <x:c r="K157" s="8"/>
      <x:c r="L157" s="8" t="n">
        <x:f>J157-K157</x:f>
        <x:v>6336</x:v>
      </x:c>
      <x:c r="M157" s="2" t="str">
        <x:f>TEXT(B157,"yyyy-mm")</x:f>
        <x:v>2026-08</x:v>
      </x:c>
      <x:c r="N157" s="2"/>
      <x:c r="O157" s="2"/>
      <x:c r="P157" s="2"/>
    </x:row>
    <x:row r="158" ht="26" customHeight="1">
      <x:c r="A158" s="2" t="str">
        <x:v>O157</x:v>
      </x:c>
      <x:c r="B158" s="7" t="d">
        <x:v>2026-08-17T00:00:00.000Z</x:v>
      </x:c>
      <x:c r="C158" s="2" t="str">
        <x:v>Настольная лампа</x:v>
      </x:c>
      <x:c r="D158" s="2" t="str">
        <x:v>Сайт</x:v>
      </x:c>
      <x:c r="E158" s="29" t="n">
        <x:v>4</x:v>
      </x:c>
      <x:c r="F158" s="8" t="n">
        <x:v>2900</x:v>
      </x:c>
      <x:c r="G158" s="8" t="n">
        <x:v>348</x:v>
      </x:c>
      <x:c r="H158" s="8" t="n">
        <x:v>1700</x:v>
      </x:c>
      <x:c r="I158" s="2" t="str">
        <x:v>отменён</x:v>
      </x:c>
      <x:c r="J158" s="8" t="n">
        <x:f>IF(I158="оплачен",E158*F158-G158,0)</x:f>
        <x:v>0</x:v>
      </x:c>
      <x:c r="K158" s="8"/>
      <x:c r="L158" s="8" t="n">
        <x:f>J158-K158</x:f>
        <x:v>0</x:v>
      </x:c>
      <x:c r="M158" s="2" t="str">
        <x:f>TEXT(B158,"yyyy-mm")</x:f>
        <x:v>2026-08</x:v>
      </x:c>
      <x:c r="N158" s="2"/>
      <x:c r="O158" s="2"/>
      <x:c r="P158" s="2"/>
    </x:row>
    <x:row r="159" ht="26" customHeight="1">
      <x:c r="A159" s="2" t="str">
        <x:v>O158</x:v>
      </x:c>
      <x:c r="B159" s="7" t="d">
        <x:v>2026-08-18T00:00:00.000Z</x:v>
      </x:c>
      <x:c r="C159" s="2" t="str">
        <x:v>Термокружка</x:v>
      </x:c>
      <x:c r="D159" s="2" t="str">
        <x:v>Сайт</x:v>
      </x:c>
      <x:c r="E159" s="29" t="n">
        <x:v>1</x:v>
      </x:c>
      <x:c r="F159" s="8" t="n">
        <x:v>1600</x:v>
      </x:c>
      <x:c r="G159" s="8" t="n">
        <x:v>48</x:v>
      </x:c>
      <x:c r="H159" s="8" t="n">
        <x:v>650</x:v>
      </x:c>
      <x:c r="I159" s="2" t="str">
        <x:v>оплачен</x:v>
      </x:c>
      <x:c r="J159" s="8" t="n">
        <x:f>IF(I159="оплачен",E159*F159-G159,0)</x:f>
        <x:v>1552</x:v>
      </x:c>
      <x:c r="K159" s="8"/>
      <x:c r="L159" s="8" t="n">
        <x:f>J159-K159</x:f>
        <x:v>1552</x:v>
      </x:c>
      <x:c r="M159" s="2" t="str">
        <x:f>TEXT(B159,"yyyy-mm")</x:f>
        <x:v>2026-08</x:v>
      </x:c>
      <x:c r="N159" s="2"/>
      <x:c r="O159" s="2"/>
      <x:c r="P159" s="2"/>
    </x:row>
    <x:row r="160" ht="26" customHeight="1">
      <x:c r="A160" s="2" t="str">
        <x:v>O159</x:v>
      </x:c>
      <x:c r="B160" s="7" t="d">
        <x:v>2026-08-19T00:00:00.000Z</x:v>
      </x:c>
      <x:c r="C160" s="2" t="str">
        <x:v>Рюкзак</x:v>
      </x:c>
      <x:c r="D160" s="2" t="str">
        <x:v>Соцсети</x:v>
      </x:c>
      <x:c r="E160" s="29" t="n">
        <x:v>1</x:v>
      </x:c>
      <x:c r="F160" s="8" t="n">
        <x:v>3600</x:v>
      </x:c>
      <x:c r="G160" s="8" t="n">
        <x:v>108</x:v>
      </x:c>
      <x:c r="H160" s="8" t="n">
        <x:v>1900</x:v>
      </x:c>
      <x:c r="I160" s="2" t="str">
        <x:v>оплачен</x:v>
      </x:c>
      <x:c r="J160" s="8" t="n">
        <x:f>IF(I160="оплачен",E160*F160-G160,0)</x:f>
        <x:v>3492</x:v>
      </x:c>
      <x:c r="K160" s="8"/>
      <x:c r="L160" s="8" t="n">
        <x:f>J160-K160</x:f>
        <x:v>3492</x:v>
      </x:c>
      <x:c r="M160" s="2" t="str">
        <x:f>TEXT(B160,"yyyy-mm")</x:f>
        <x:v>2026-08</x:v>
      </x:c>
      <x:c r="N160" s="2"/>
      <x:c r="O160" s="2"/>
      <x:c r="P160" s="2"/>
    </x:row>
    <x:row r="161" ht="26" customHeight="1">
      <x:c r="A161" s="2" t="str">
        <x:v>O160</x:v>
      </x:c>
      <x:c r="B161" s="7" t="d">
        <x:v>2026-08-20T00:00:00.000Z</x:v>
      </x:c>
      <x:c r="C161" s="2" t="str">
        <x:v>Настольная лампа</x:v>
      </x:c>
      <x:c r="D161" s="2" t="str">
        <x:v>Соцсети</x:v>
      </x:c>
      <x:c r="E161" s="29" t="n">
        <x:v>4</x:v>
      </x:c>
      <x:c r="F161" s="8" t="n">
        <x:v>2900</x:v>
      </x:c>
      <x:c r="G161" s="8" t="n">
        <x:v>348</x:v>
      </x:c>
      <x:c r="H161" s="8" t="n">
        <x:v>1700</x:v>
      </x:c>
      <x:c r="I161" s="2" t="str">
        <x:v>оплачен</x:v>
      </x:c>
      <x:c r="J161" s="8" t="n">
        <x:f>IF(I161="оплачен",E161*F161-G161,0)</x:f>
        <x:v>11252</x:v>
      </x:c>
      <x:c r="K161" s="8"/>
      <x:c r="L161" s="8" t="n">
        <x:f>J161-K161</x:f>
        <x:v>11252</x:v>
      </x:c>
      <x:c r="M161" s="2" t="str">
        <x:f>TEXT(B161,"yyyy-mm")</x:f>
        <x:v>2026-08</x:v>
      </x:c>
      <x:c r="N161" s="2"/>
      <x:c r="O161" s="2"/>
      <x:c r="P161" s="2"/>
    </x:row>
    <x:row r="162" ht="26" customHeight="1">
      <x:c r="A162" s="2" t="str">
        <x:v>O161</x:v>
      </x:c>
      <x:c r="B162" s="7" t="d">
        <x:v>2026-09-21T00:00:00.000Z</x:v>
      </x:c>
      <x:c r="C162" s="2" t="str">
        <x:v>Рюкзак</x:v>
      </x:c>
      <x:c r="D162" s="2" t="str">
        <x:v>Соцсети</x:v>
      </x:c>
      <x:c r="E162" s="29" t="n">
        <x:v>1</x:v>
      </x:c>
      <x:c r="F162" s="8" t="n">
        <x:v>3600</x:v>
      </x:c>
      <x:c r="G162" s="8" t="n">
        <x:v>108</x:v>
      </x:c>
      <x:c r="H162" s="8" t="n">
        <x:v>1900</x:v>
      </x:c>
      <x:c r="I162" s="2" t="str">
        <x:v>оплачен</x:v>
      </x:c>
      <x:c r="J162" s="8" t="n">
        <x:f>IF(I162="оплачен",E162*F162-G162,0)</x:f>
        <x:v>3492</x:v>
      </x:c>
      <x:c r="K162" s="8"/>
      <x:c r="L162" s="8" t="n">
        <x:f>J162-K162</x:f>
        <x:v>3492</x:v>
      </x:c>
      <x:c r="M162" s="2" t="str">
        <x:f>TEXT(B162,"yyyy-mm")</x:f>
        <x:v>2026-09</x:v>
      </x:c>
      <x:c r="N162" s="2"/>
      <x:c r="O162" s="2"/>
      <x:c r="P162" s="2"/>
    </x:row>
    <x:row r="163" ht="26" customHeight="1">
      <x:c r="A163" s="2" t="str">
        <x:v>O162</x:v>
      </x:c>
      <x:c r="B163" s="7" t="d">
        <x:v>2026-09-22T00:00:00.000Z</x:v>
      </x:c>
      <x:c r="C163" s="2" t="str">
        <x:v>Термокружка</x:v>
      </x:c>
      <x:c r="D163" s="2" t="str">
        <x:v>Сайт</x:v>
      </x:c>
      <x:c r="E163" s="29" t="n">
        <x:v>1</x:v>
      </x:c>
      <x:c r="F163" s="8" t="n">
        <x:v>1600</x:v>
      </x:c>
      <x:c r="G163" s="8" t="n">
        <x:v>48</x:v>
      </x:c>
      <x:c r="H163" s="8" t="n">
        <x:v>650</x:v>
      </x:c>
      <x:c r="I163" s="2" t="str">
        <x:v>оплачен</x:v>
      </x:c>
      <x:c r="J163" s="8" t="n">
        <x:f>IF(I163="оплачен",E163*F163-G163,0)</x:f>
        <x:v>1552</x:v>
      </x:c>
      <x:c r="K163" s="8"/>
      <x:c r="L163" s="8" t="n">
        <x:f>J163-K163</x:f>
        <x:v>1552</x:v>
      </x:c>
      <x:c r="M163" s="2" t="str">
        <x:f>TEXT(B163,"yyyy-mm")</x:f>
        <x:v>2026-09</x:v>
      </x:c>
      <x:c r="N163" s="2"/>
      <x:c r="O163" s="2"/>
      <x:c r="P163" s="2"/>
    </x:row>
    <x:row r="164" ht="26" customHeight="1">
      <x:c r="A164" s="2" t="str">
        <x:v>O163</x:v>
      </x:c>
      <x:c r="B164" s="7" t="d">
        <x:v>2026-09-23T00:00:00.000Z</x:v>
      </x:c>
      <x:c r="C164" s="2" t="str">
        <x:v>Термокружка</x:v>
      </x:c>
      <x:c r="D164" s="2" t="str">
        <x:v>Сайт</x:v>
      </x:c>
      <x:c r="E164" s="29" t="n">
        <x:v>1</x:v>
      </x:c>
      <x:c r="F164" s="8" t="n">
        <x:v>1600</x:v>
      </x:c>
      <x:c r="G164" s="8" t="n">
        <x:v>48</x:v>
      </x:c>
      <x:c r="H164" s="8" t="n">
        <x:v>650</x:v>
      </x:c>
      <x:c r="I164" s="2" t="str">
        <x:v>оплачен</x:v>
      </x:c>
      <x:c r="J164" s="8" t="n">
        <x:f>IF(I164="оплачен",E164*F164-G164,0)</x:f>
        <x:v>1552</x:v>
      </x:c>
      <x:c r="K164" s="8"/>
      <x:c r="L164" s="8" t="n">
        <x:f>J164-K164</x:f>
        <x:v>1552</x:v>
      </x:c>
      <x:c r="M164" s="2" t="str">
        <x:f>TEXT(B164,"yyyy-mm")</x:f>
        <x:v>2026-09</x:v>
      </x:c>
      <x:c r="N164" s="2"/>
      <x:c r="O164" s="2"/>
      <x:c r="P164" s="2"/>
    </x:row>
    <x:row r="165" ht="26" customHeight="1">
      <x:c r="A165" s="2" t="str">
        <x:v>O164</x:v>
      </x:c>
      <x:c r="B165" s="7" t="d">
        <x:v>2026-09-24T00:00:00.000Z</x:v>
      </x:c>
      <x:c r="C165" s="2" t="str">
        <x:v>Планер</x:v>
      </x:c>
      <x:c r="D165" s="2" t="str">
        <x:v>Соцсети</x:v>
      </x:c>
      <x:c r="E165" s="29" t="n">
        <x:v>1</x:v>
      </x:c>
      <x:c r="F165" s="8" t="n">
        <x:v>800</x:v>
      </x:c>
      <x:c r="G165" s="8" t="n">
        <x:v>24</x:v>
      </x:c>
      <x:c r="H165" s="8" t="n">
        <x:v>280</x:v>
      </x:c>
      <x:c r="I165" s="2" t="str">
        <x:v>оплачен</x:v>
      </x:c>
      <x:c r="J165" s="8" t="n">
        <x:f>IF(I165="оплачен",E165*F165-G165,0)</x:f>
        <x:v>776</x:v>
      </x:c>
      <x:c r="K165" s="8"/>
      <x:c r="L165" s="8" t="n">
        <x:f>J165-K165</x:f>
        <x:v>776</x:v>
      </x:c>
      <x:c r="M165" s="2" t="str">
        <x:f>TEXT(B165,"yyyy-mm")</x:f>
        <x:v>2026-09</x:v>
      </x:c>
      <x:c r="N165" s="2"/>
      <x:c r="O165" s="2"/>
      <x:c r="P165" s="2"/>
    </x:row>
    <x:row r="166" ht="26" customHeight="1">
      <x:c r="A166" s="2" t="str">
        <x:v>O165</x:v>
      </x:c>
      <x:c r="B166" s="7" t="d">
        <x:v>2026-09-25T00:00:00.000Z</x:v>
      </x:c>
      <x:c r="C166" s="2" t="str">
        <x:v>Термокружка</x:v>
      </x:c>
      <x:c r="D166" s="2" t="str">
        <x:v>Маркетплейс</x:v>
      </x:c>
      <x:c r="E166" s="29" t="n">
        <x:v>1</x:v>
      </x:c>
      <x:c r="F166" s="8" t="n">
        <x:v>1600</x:v>
      </x:c>
      <x:c r="G166" s="8" t="n">
        <x:v>192</x:v>
      </x:c>
      <x:c r="H166" s="8" t="n">
        <x:v>650</x:v>
      </x:c>
      <x:c r="I166" s="2" t="str">
        <x:v>оплачен</x:v>
      </x:c>
      <x:c r="J166" s="8" t="n">
        <x:f>IF(I166="оплачен",E166*F166-G166,0)</x:f>
        <x:v>1408</x:v>
      </x:c>
      <x:c r="K166" s="8"/>
      <x:c r="L166" s="8" t="n">
        <x:f>J166-K166</x:f>
        <x:v>1408</x:v>
      </x:c>
      <x:c r="M166" s="2" t="str">
        <x:f>TEXT(B166,"yyyy-mm")</x:f>
        <x:v>2026-09</x:v>
      </x:c>
      <x:c r="N166" s="2"/>
      <x:c r="O166" s="2"/>
      <x:c r="P166" s="2"/>
    </x:row>
    <x:row r="167" ht="26" customHeight="1">
      <x:c r="A167" s="2" t="str">
        <x:v>O166</x:v>
      </x:c>
      <x:c r="B167" s="7" t="d">
        <x:v>2026-09-26T00:00:00.000Z</x:v>
      </x:c>
      <x:c r="C167" s="2" t="str">
        <x:v>Рюкзак</x:v>
      </x:c>
      <x:c r="D167" s="2" t="str">
        <x:v>Соцсети</x:v>
      </x:c>
      <x:c r="E167" s="29" t="n">
        <x:v>2</x:v>
      </x:c>
      <x:c r="F167" s="8" t="n">
        <x:v>3600</x:v>
      </x:c>
      <x:c r="G167" s="8" t="n">
        <x:v>216</x:v>
      </x:c>
      <x:c r="H167" s="8" t="n">
        <x:v>1900</x:v>
      </x:c>
      <x:c r="I167" s="2" t="str">
        <x:v>оплачен</x:v>
      </x:c>
      <x:c r="J167" s="8" t="n">
        <x:f>IF(I167="оплачен",E167*F167-G167,0)</x:f>
        <x:v>6984</x:v>
      </x:c>
      <x:c r="K167" s="8"/>
      <x:c r="L167" s="8" t="n">
        <x:f>J167-K167</x:f>
        <x:v>6984</x:v>
      </x:c>
      <x:c r="M167" s="2" t="str">
        <x:f>TEXT(B167,"yyyy-mm")</x:f>
        <x:v>2026-09</x:v>
      </x:c>
      <x:c r="N167" s="2"/>
      <x:c r="O167" s="2"/>
      <x:c r="P167" s="2"/>
    </x:row>
    <x:row r="168" ht="26" customHeight="1">
      <x:c r="A168" s="2" t="str">
        <x:v>O167</x:v>
      </x:c>
      <x:c r="B168" s="7" t="d">
        <x:v>2026-09-27T00:00:00.000Z</x:v>
      </x:c>
      <x:c r="C168" s="2" t="str">
        <x:v>Термокружка</x:v>
      </x:c>
      <x:c r="D168" s="2" t="str">
        <x:v>Сайт</x:v>
      </x:c>
      <x:c r="E168" s="29" t="n">
        <x:v>1</x:v>
      </x:c>
      <x:c r="F168" s="8" t="n">
        <x:v>1600</x:v>
      </x:c>
      <x:c r="G168" s="8" t="n">
        <x:v>48</x:v>
      </x:c>
      <x:c r="H168" s="8" t="n">
        <x:v>650</x:v>
      </x:c>
      <x:c r="I168" s="2" t="str">
        <x:v>оплачен</x:v>
      </x:c>
      <x:c r="J168" s="8" t="n">
        <x:f>IF(I168="оплачен",E168*F168-G168,0)</x:f>
        <x:v>1552</x:v>
      </x:c>
      <x:c r="K168" s="8"/>
      <x:c r="L168" s="8" t="n">
        <x:f>J168-K168</x:f>
        <x:v>1552</x:v>
      </x:c>
      <x:c r="M168" s="2" t="str">
        <x:f>TEXT(B168,"yyyy-mm")</x:f>
        <x:v>2026-09</x:v>
      </x:c>
      <x:c r="N168" s="2"/>
      <x:c r="O168" s="2"/>
      <x:c r="P168" s="2"/>
    </x:row>
    <x:row r="169" ht="26" customHeight="1">
      <x:c r="A169" s="2" t="str">
        <x:v>O168</x:v>
      </x:c>
      <x:c r="B169" s="7" t="d">
        <x:v>2026-09-28T00:00:00.000Z</x:v>
      </x:c>
      <x:c r="C169" s="2" t="str">
        <x:v>Рюкзак</x:v>
      </x:c>
      <x:c r="D169" s="2" t="str">
        <x:v>Сайт</x:v>
      </x:c>
      <x:c r="E169" s="29" t="n">
        <x:v>2</x:v>
      </x:c>
      <x:c r="F169" s="8" t="n">
        <x:v>3600</x:v>
      </x:c>
      <x:c r="G169" s="8" t="n">
        <x:v>216</x:v>
      </x:c>
      <x:c r="H169" s="8" t="n">
        <x:v>1900</x:v>
      </x:c>
      <x:c r="I169" s="2" t="str">
        <x:v>оплачен</x:v>
      </x:c>
      <x:c r="J169" s="8" t="n">
        <x:f>IF(I169="оплачен",E169*F169-G169,0)</x:f>
        <x:v>6984</x:v>
      </x:c>
      <x:c r="K169" s="8"/>
      <x:c r="L169" s="8" t="n">
        <x:f>J169-K169</x:f>
        <x:v>6984</x:v>
      </x:c>
      <x:c r="M169" s="2" t="str">
        <x:f>TEXT(B169,"yyyy-mm")</x:f>
        <x:v>2026-09</x:v>
      </x:c>
      <x:c r="N169" s="2"/>
      <x:c r="O169" s="2"/>
      <x:c r="P169" s="2"/>
    </x:row>
    <x:row r="170" ht="26" customHeight="1">
      <x:c r="A170" s="2" t="str">
        <x:v>O169</x:v>
      </x:c>
      <x:c r="B170" s="7" t="d">
        <x:v>2026-09-01T00:00:00.000Z</x:v>
      </x:c>
      <x:c r="C170" s="2" t="str">
        <x:v>Настольная лампа</x:v>
      </x:c>
      <x:c r="D170" s="2" t="str">
        <x:v>Сайт</x:v>
      </x:c>
      <x:c r="E170" s="29" t="n">
        <x:v>1</x:v>
      </x:c>
      <x:c r="F170" s="8" t="n">
        <x:v>2900</x:v>
      </x:c>
      <x:c r="G170" s="8" t="n">
        <x:v>87</x:v>
      </x:c>
      <x:c r="H170" s="8" t="n">
        <x:v>1700</x:v>
      </x:c>
      <x:c r="I170" s="2" t="str">
        <x:v>оплачен</x:v>
      </x:c>
      <x:c r="J170" s="8" t="n">
        <x:f>IF(I170="оплачен",E170*F170-G170,0)</x:f>
        <x:v>2813</x:v>
      </x:c>
      <x:c r="K170" s="8"/>
      <x:c r="L170" s="8" t="n">
        <x:f>J170-K170</x:f>
        <x:v>2813</x:v>
      </x:c>
      <x:c r="M170" s="2" t="str">
        <x:f>TEXT(B170,"yyyy-mm")</x:f>
        <x:v>2026-09</x:v>
      </x:c>
      <x:c r="N170" s="2"/>
      <x:c r="O170" s="2"/>
      <x:c r="P170" s="2"/>
    </x:row>
    <x:row r="171" ht="26" customHeight="1">
      <x:c r="A171" s="2" t="str">
        <x:v>O170</x:v>
      </x:c>
      <x:c r="B171" s="7" t="d">
        <x:v>2026-09-02T00:00:00.000Z</x:v>
      </x:c>
      <x:c r="C171" s="2" t="str">
        <x:v>Планер</x:v>
      </x:c>
      <x:c r="D171" s="2" t="str">
        <x:v>Маркетплейс</x:v>
      </x:c>
      <x:c r="E171" s="29" t="n">
        <x:v>1</x:v>
      </x:c>
      <x:c r="F171" s="8" t="n">
        <x:v>800</x:v>
      </x:c>
      <x:c r="G171" s="8" t="n">
        <x:v>96</x:v>
      </x:c>
      <x:c r="H171" s="8" t="n">
        <x:v>280</x:v>
      </x:c>
      <x:c r="I171" s="2" t="str">
        <x:v>отменён</x:v>
      </x:c>
      <x:c r="J171" s="8" t="n">
        <x:f>IF(I171="оплачен",E171*F171-G171,0)</x:f>
        <x:v>0</x:v>
      </x:c>
      <x:c r="K171" s="8"/>
      <x:c r="L171" s="8" t="n">
        <x:f>J171-K171</x:f>
        <x:v>0</x:v>
      </x:c>
      <x:c r="M171" s="2" t="str">
        <x:f>TEXT(B171,"yyyy-mm")</x:f>
        <x:v>2026-09</x:v>
      </x:c>
      <x:c r="N171" s="2"/>
      <x:c r="O171" s="2"/>
      <x:c r="P171" s="2"/>
    </x:row>
    <x:row r="172" ht="26" customHeight="1">
      <x:c r="A172" s="2" t="str">
        <x:v>O171</x:v>
      </x:c>
      <x:c r="B172" s="7" t="d">
        <x:v>2026-09-03T00:00:00.000Z</x:v>
      </x:c>
      <x:c r="C172" s="2" t="str">
        <x:v>Планер</x:v>
      </x:c>
      <x:c r="D172" s="2" t="str">
        <x:v>Соцсети</x:v>
      </x:c>
      <x:c r="E172" s="29" t="n">
        <x:v>2</x:v>
      </x:c>
      <x:c r="F172" s="8" t="n">
        <x:v>800</x:v>
      </x:c>
      <x:c r="G172" s="8" t="n">
        <x:v>48</x:v>
      </x:c>
      <x:c r="H172" s="8" t="n">
        <x:v>280</x:v>
      </x:c>
      <x:c r="I172" s="2" t="str">
        <x:v>возвращён</x:v>
      </x:c>
      <x:c r="J172" s="8" t="n">
        <x:f>IF(I172="оплачен",E172*F172-G172,0)</x:f>
        <x:v>0</x:v>
      </x:c>
      <x:c r="K172" s="8"/>
      <x:c r="L172" s="8" t="n">
        <x:f>J172-K172</x:f>
        <x:v>0</x:v>
      </x:c>
      <x:c r="M172" s="2" t="str">
        <x:f>TEXT(B172,"yyyy-mm")</x:f>
        <x:v>2026-09</x:v>
      </x:c>
      <x:c r="N172" s="2"/>
      <x:c r="O172" s="2"/>
      <x:c r="P172" s="2"/>
    </x:row>
    <x:row r="173" ht="26" customHeight="1">
      <x:c r="A173" s="2" t="str">
        <x:v>O172</x:v>
      </x:c>
      <x:c r="B173" s="7" t="d">
        <x:v>2026-09-04T00:00:00.000Z</x:v>
      </x:c>
      <x:c r="C173" s="2" t="str">
        <x:v>Настольная лампа</x:v>
      </x:c>
      <x:c r="D173" s="2" t="str">
        <x:v>Соцсети</x:v>
      </x:c>
      <x:c r="E173" s="29" t="n">
        <x:v>2</x:v>
      </x:c>
      <x:c r="F173" s="8" t="n">
        <x:v>2900</x:v>
      </x:c>
      <x:c r="G173" s="8" t="n">
        <x:v>174</x:v>
      </x:c>
      <x:c r="H173" s="8" t="n">
        <x:v>1700</x:v>
      </x:c>
      <x:c r="I173" s="2" t="str">
        <x:v>оплачен</x:v>
      </x:c>
      <x:c r="J173" s="8" t="n">
        <x:f>IF(I173="оплачен",E173*F173-G173,0)</x:f>
        <x:v>5626</x:v>
      </x:c>
      <x:c r="K173" s="8"/>
      <x:c r="L173" s="8" t="n">
        <x:f>J173-K173</x:f>
        <x:v>5626</x:v>
      </x:c>
      <x:c r="M173" s="2" t="str">
        <x:f>TEXT(B173,"yyyy-mm")</x:f>
        <x:v>2026-09</x:v>
      </x:c>
      <x:c r="N173" s="2"/>
      <x:c r="O173" s="2"/>
      <x:c r="P173" s="2"/>
    </x:row>
    <x:row r="174" ht="26" customHeight="1">
      <x:c r="A174" s="2" t="str">
        <x:v>O173</x:v>
      </x:c>
      <x:c r="B174" s="7" t="d">
        <x:v>2026-09-05T00:00:00.000Z</x:v>
      </x:c>
      <x:c r="C174" s="2" t="str">
        <x:v>Термокружка</x:v>
      </x:c>
      <x:c r="D174" s="2" t="str">
        <x:v>Сайт</x:v>
      </x:c>
      <x:c r="E174" s="29" t="n">
        <x:v>1</x:v>
      </x:c>
      <x:c r="F174" s="8" t="n">
        <x:v>1600</x:v>
      </x:c>
      <x:c r="G174" s="8" t="n">
        <x:v>48</x:v>
      </x:c>
      <x:c r="H174" s="8" t="n">
        <x:v>650</x:v>
      </x:c>
      <x:c r="I174" s="2" t="str">
        <x:v>оплачен</x:v>
      </x:c>
      <x:c r="J174" s="8" t="n">
        <x:f>IF(I174="оплачен",E174*F174-G174,0)</x:f>
        <x:v>1552</x:v>
      </x:c>
      <x:c r="K174" s="8"/>
      <x:c r="L174" s="8" t="n">
        <x:f>J174-K174</x:f>
        <x:v>1552</x:v>
      </x:c>
      <x:c r="M174" s="2" t="str">
        <x:f>TEXT(B174,"yyyy-mm")</x:f>
        <x:v>2026-09</x:v>
      </x:c>
      <x:c r="N174" s="2"/>
      <x:c r="O174" s="2"/>
      <x:c r="P174" s="2"/>
    </x:row>
    <x:row r="175" ht="26" customHeight="1">
      <x:c r="A175" s="2" t="str">
        <x:v>O174</x:v>
      </x:c>
      <x:c r="B175" s="7" t="d">
        <x:v>2026-09-06T00:00:00.000Z</x:v>
      </x:c>
      <x:c r="C175" s="2" t="str">
        <x:v>Планер</x:v>
      </x:c>
      <x:c r="D175" s="2" t="str">
        <x:v>Маркетплейс</x:v>
      </x:c>
      <x:c r="E175" s="29" t="n">
        <x:v>2</x:v>
      </x:c>
      <x:c r="F175" s="8" t="n">
        <x:v>800</x:v>
      </x:c>
      <x:c r="G175" s="8" t="n">
        <x:v>192</x:v>
      </x:c>
      <x:c r="H175" s="8" t="n">
        <x:v>280</x:v>
      </x:c>
      <x:c r="I175" s="2" t="str">
        <x:v>оплачен</x:v>
      </x:c>
      <x:c r="J175" s="8" t="n">
        <x:f>IF(I175="оплачен",E175*F175-G175,0)</x:f>
        <x:v>1408</x:v>
      </x:c>
      <x:c r="K175" s="8"/>
      <x:c r="L175" s="8" t="n">
        <x:f>J175-K175</x:f>
        <x:v>1408</x:v>
      </x:c>
      <x:c r="M175" s="2" t="str">
        <x:f>TEXT(B175,"yyyy-mm")</x:f>
        <x:v>2026-09</x:v>
      </x:c>
      <x:c r="N175" s="2"/>
      <x:c r="O175" s="2"/>
      <x:c r="P175" s="2"/>
    </x:row>
    <x:row r="176" ht="26" customHeight="1">
      <x:c r="A176" s="2" t="str">
        <x:v>O175</x:v>
      </x:c>
      <x:c r="B176" s="7" t="d">
        <x:v>2026-09-07T00:00:00.000Z</x:v>
      </x:c>
      <x:c r="C176" s="2" t="str">
        <x:v>Настольная лампа</x:v>
      </x:c>
      <x:c r="D176" s="2" t="str">
        <x:v>Маркетплейс</x:v>
      </x:c>
      <x:c r="E176" s="29" t="n">
        <x:v>2</x:v>
      </x:c>
      <x:c r="F176" s="8" t="n">
        <x:v>2900</x:v>
      </x:c>
      <x:c r="G176" s="8" t="n">
        <x:v>696</x:v>
      </x:c>
      <x:c r="H176" s="8" t="n">
        <x:v>1700</x:v>
      </x:c>
      <x:c r="I176" s="2" t="str">
        <x:v>оплачен</x:v>
      </x:c>
      <x:c r="J176" s="8" t="n">
        <x:f>IF(I176="оплачен",E176*F176-G176,0)</x:f>
        <x:v>5104</x:v>
      </x:c>
      <x:c r="K176" s="8"/>
      <x:c r="L176" s="8" t="n">
        <x:f>J176-K176</x:f>
        <x:v>5104</x:v>
      </x:c>
      <x:c r="M176" s="2" t="str">
        <x:f>TEXT(B176,"yyyy-mm")</x:f>
        <x:v>2026-09</x:v>
      </x:c>
      <x:c r="N176" s="2"/>
      <x:c r="O176" s="2"/>
      <x:c r="P176" s="2"/>
    </x:row>
    <x:row r="177" ht="26" customHeight="1">
      <x:c r="A177" s="2" t="str">
        <x:v>O176</x:v>
      </x:c>
      <x:c r="B177" s="7" t="d">
        <x:v>2026-09-08T00:00:00.000Z</x:v>
      </x:c>
      <x:c r="C177" s="2" t="str">
        <x:v>Настольная лампа</x:v>
      </x:c>
      <x:c r="D177" s="2" t="str">
        <x:v>Соцсети</x:v>
      </x:c>
      <x:c r="E177" s="29" t="n">
        <x:v>4</x:v>
      </x:c>
      <x:c r="F177" s="8" t="n">
        <x:v>2900</x:v>
      </x:c>
      <x:c r="G177" s="8" t="n">
        <x:v>348</x:v>
      </x:c>
      <x:c r="H177" s="8" t="n">
        <x:v>1700</x:v>
      </x:c>
      <x:c r="I177" s="2" t="str">
        <x:v>оплачен</x:v>
      </x:c>
      <x:c r="J177" s="8" t="n">
        <x:f>IF(I177="оплачен",E177*F177-G177,0)</x:f>
        <x:v>11252</x:v>
      </x:c>
      <x:c r="K177" s="8"/>
      <x:c r="L177" s="8" t="n">
        <x:f>J177-K177</x:f>
        <x:v>11252</x:v>
      </x:c>
      <x:c r="M177" s="2" t="str">
        <x:f>TEXT(B177,"yyyy-mm")</x:f>
        <x:v>2026-09</x:v>
      </x:c>
      <x:c r="N177" s="2"/>
      <x:c r="O177" s="2"/>
      <x:c r="P177" s="2"/>
    </x:row>
    <x:row r="178" ht="26" customHeight="1">
      <x:c r="A178" s="2" t="str">
        <x:v>O177</x:v>
      </x:c>
      <x:c r="B178" s="7" t="d">
        <x:v>2026-09-09T00:00:00.000Z</x:v>
      </x:c>
      <x:c r="C178" s="2" t="str">
        <x:v>Термокружка</x:v>
      </x:c>
      <x:c r="D178" s="2" t="str">
        <x:v>Маркетплейс</x:v>
      </x:c>
      <x:c r="E178" s="29" t="n">
        <x:v>1</x:v>
      </x:c>
      <x:c r="F178" s="8" t="n">
        <x:v>1600</x:v>
      </x:c>
      <x:c r="G178" s="8" t="n">
        <x:v>192</x:v>
      </x:c>
      <x:c r="H178" s="8" t="n">
        <x:v>650</x:v>
      </x:c>
      <x:c r="I178" s="2" t="str">
        <x:v>оплачен</x:v>
      </x:c>
      <x:c r="J178" s="8" t="n">
        <x:f>IF(I178="оплачен",E178*F178-G178,0)</x:f>
        <x:v>1408</x:v>
      </x:c>
      <x:c r="K178" s="8"/>
      <x:c r="L178" s="8" t="n">
        <x:f>J178-K178</x:f>
        <x:v>1408</x:v>
      </x:c>
      <x:c r="M178" s="2" t="str">
        <x:f>TEXT(B178,"yyyy-mm")</x:f>
        <x:v>2026-09</x:v>
      </x:c>
      <x:c r="N178" s="2"/>
      <x:c r="O178" s="2"/>
      <x:c r="P178" s="2"/>
    </x:row>
    <x:row r="179" ht="26" customHeight="1">
      <x:c r="A179" s="2" t="str">
        <x:v>O178</x:v>
      </x:c>
      <x:c r="B179" s="7" t="d">
        <x:v>2026-09-10T00:00:00.000Z</x:v>
      </x:c>
      <x:c r="C179" s="2" t="str">
        <x:v>Рюкзак</x:v>
      </x:c>
      <x:c r="D179" s="2" t="str">
        <x:v>Маркетплейс</x:v>
      </x:c>
      <x:c r="E179" s="29" t="n">
        <x:v>3</x:v>
      </x:c>
      <x:c r="F179" s="8" t="n">
        <x:v>3600</x:v>
      </x:c>
      <x:c r="G179" s="8" t="n">
        <x:v>1296</x:v>
      </x:c>
      <x:c r="H179" s="8" t="n">
        <x:v>1900</x:v>
      </x:c>
      <x:c r="I179" s="2" t="str">
        <x:v>оплачен</x:v>
      </x:c>
      <x:c r="J179" s="8" t="n">
        <x:f>IF(I179="оплачен",E179*F179-G179,0)</x:f>
        <x:v>9504</x:v>
      </x:c>
      <x:c r="K179" s="8"/>
      <x:c r="L179" s="8" t="n">
        <x:f>J179-K179</x:f>
        <x:v>9504</x:v>
      </x:c>
      <x:c r="M179" s="2" t="str">
        <x:f>TEXT(B179,"yyyy-mm")</x:f>
        <x:v>2026-09</x:v>
      </x:c>
      <x:c r="N179" s="2"/>
      <x:c r="O179" s="2"/>
      <x:c r="P179" s="2"/>
    </x:row>
    <x:row r="180" ht="26" customHeight="1">
      <x:c r="A180" s="2" t="str">
        <x:v>O179</x:v>
      </x:c>
      <x:c r="B180" s="7" t="d">
        <x:v>2026-09-11T00:00:00.000Z</x:v>
      </x:c>
      <x:c r="C180" s="2" t="str">
        <x:v>Настольная лампа</x:v>
      </x:c>
      <x:c r="D180" s="2" t="str">
        <x:v>Соцсети</x:v>
      </x:c>
      <x:c r="E180" s="29" t="n">
        <x:v>1</x:v>
      </x:c>
      <x:c r="F180" s="8" t="n">
        <x:v>2900</x:v>
      </x:c>
      <x:c r="G180" s="8" t="n">
        <x:v>87</x:v>
      </x:c>
      <x:c r="H180" s="8" t="n">
        <x:v>1700</x:v>
      </x:c>
      <x:c r="I180" s="2" t="str">
        <x:v>оплачен</x:v>
      </x:c>
      <x:c r="J180" s="8" t="n">
        <x:f>IF(I180="оплачен",E180*F180-G180,0)</x:f>
        <x:v>2813</x:v>
      </x:c>
      <x:c r="K180" s="8"/>
      <x:c r="L180" s="8" t="n">
        <x:f>J180-K180</x:f>
        <x:v>2813</x:v>
      </x:c>
      <x:c r="M180" s="2" t="str">
        <x:f>TEXT(B180,"yyyy-mm")</x:f>
        <x:v>2026-09</x:v>
      </x:c>
      <x:c r="N180" s="2"/>
      <x:c r="O180" s="2"/>
      <x:c r="P180" s="2"/>
    </x:row>
    <x:row r="181" ht="26" customHeight="1">
      <x:c r="A181" s="2" t="str">
        <x:v>O180</x:v>
      </x:c>
      <x:c r="B181" s="7" t="d">
        <x:v>2026-09-12T00:00:00.000Z</x:v>
      </x:c>
      <x:c r="C181" s="2" t="str">
        <x:v>Рюкзак</x:v>
      </x:c>
      <x:c r="D181" s="2" t="str">
        <x:v>Сайт</x:v>
      </x:c>
      <x:c r="E181" s="29" t="n">
        <x:v>4</x:v>
      </x:c>
      <x:c r="F181" s="8" t="n">
        <x:v>3600</x:v>
      </x:c>
      <x:c r="G181" s="8" t="n">
        <x:v>432</x:v>
      </x:c>
      <x:c r="H181" s="8" t="n">
        <x:v>1900</x:v>
      </x:c>
      <x:c r="I181" s="2" t="str">
        <x:v>оплачен</x:v>
      </x:c>
      <x:c r="J181" s="8" t="n">
        <x:f>IF(I181="оплачен",E181*F181-G181,0)</x:f>
        <x:v>13968</x:v>
      </x:c>
      <x:c r="K181" s="8"/>
      <x:c r="L181" s="8" t="n">
        <x:f>J181-K181</x:f>
        <x:v>13968</x:v>
      </x:c>
      <x:c r="M181" s="2" t="str">
        <x:f>TEXT(B181,"yyyy-mm")</x:f>
        <x:v>2026-09</x:v>
      </x:c>
      <x:c r="N181" s="2"/>
      <x:c r="O181" s="2"/>
      <x:c r="P181" s="2"/>
    </x:row>
    <x:row r="182" ht="26" customHeight="1">
      <x:c r="A182" s="2" t="str">
        <x:v>O181</x:v>
      </x:c>
      <x:c r="B182" s="7" t="d">
        <x:v>2026-09-13T00:00:00.000Z</x:v>
      </x:c>
      <x:c r="C182" s="2" t="str">
        <x:v>Термокружка</x:v>
      </x:c>
      <x:c r="D182" s="2" t="str">
        <x:v>Маркетплейс</x:v>
      </x:c>
      <x:c r="E182" s="29" t="n">
        <x:v>4</x:v>
      </x:c>
      <x:c r="F182" s="8" t="n">
        <x:v>1600</x:v>
      </x:c>
      <x:c r="G182" s="8" t="n">
        <x:v>768</x:v>
      </x:c>
      <x:c r="H182" s="8" t="n">
        <x:v>650</x:v>
      </x:c>
      <x:c r="I182" s="2" t="str">
        <x:v>оплачен</x:v>
      </x:c>
      <x:c r="J182" s="8" t="n">
        <x:f>IF(I182="оплачен",E182*F182-G182,0)</x:f>
        <x:v>5632</x:v>
      </x:c>
      <x:c r="K182" s="8"/>
      <x:c r="L182" s="8" t="n">
        <x:f>J182-K182</x:f>
        <x:v>5632</x:v>
      </x:c>
      <x:c r="M182" s="2" t="str">
        <x:f>TEXT(B182,"yyyy-mm")</x:f>
        <x:v>2026-09</x:v>
      </x:c>
      <x:c r="N182" s="2"/>
      <x:c r="O182" s="2"/>
      <x:c r="P182" s="2"/>
    </x:row>
    <x:row r="183" ht="26" customHeight="1">
      <x:c r="A183" s="2" t="str">
        <x:v>O182</x:v>
      </x:c>
      <x:c r="B183" s="7" t="d">
        <x:v>2026-09-14T00:00:00.000Z</x:v>
      </x:c>
      <x:c r="C183" s="2" t="str">
        <x:v>Рюкзак</x:v>
      </x:c>
      <x:c r="D183" s="2" t="str">
        <x:v>Соцсети</x:v>
      </x:c>
      <x:c r="E183" s="29" t="n">
        <x:v>1</x:v>
      </x:c>
      <x:c r="F183" s="8" t="n">
        <x:v>3600</x:v>
      </x:c>
      <x:c r="G183" s="8" t="n">
        <x:v>108</x:v>
      </x:c>
      <x:c r="H183" s="8" t="n">
        <x:v>1900</x:v>
      </x:c>
      <x:c r="I183" s="2" t="str">
        <x:v>оплачен</x:v>
      </x:c>
      <x:c r="J183" s="8" t="n">
        <x:f>IF(I183="оплачен",E183*F183-G183,0)</x:f>
        <x:v>3492</x:v>
      </x:c>
      <x:c r="K183" s="8"/>
      <x:c r="L183" s="8" t="n">
        <x:f>J183-K183</x:f>
        <x:v>3492</x:v>
      </x:c>
      <x:c r="M183" s="2" t="str">
        <x:f>TEXT(B183,"yyyy-mm")</x:f>
        <x:v>2026-09</x:v>
      </x:c>
      <x:c r="N183" s="2"/>
      <x:c r="O183" s="2"/>
      <x:c r="P183" s="2"/>
    </x:row>
    <x:row r="184" ht="26" customHeight="1">
      <x:c r="A184" s="2" t="str">
        <x:v>O183</x:v>
      </x:c>
      <x:c r="B184" s="7" t="d">
        <x:v>2026-09-15T00:00:00.000Z</x:v>
      </x:c>
      <x:c r="C184" s="2" t="str">
        <x:v>Рюкзак</x:v>
      </x:c>
      <x:c r="D184" s="2" t="str">
        <x:v>Соцсети</x:v>
      </x:c>
      <x:c r="E184" s="29" t="n">
        <x:v>4</x:v>
      </x:c>
      <x:c r="F184" s="8" t="n">
        <x:v>3600</x:v>
      </x:c>
      <x:c r="G184" s="8" t="n">
        <x:v>432</x:v>
      </x:c>
      <x:c r="H184" s="8" t="n">
        <x:v>1900</x:v>
      </x:c>
      <x:c r="I184" s="2" t="str">
        <x:v>отменён</x:v>
      </x:c>
      <x:c r="J184" s="8" t="n">
        <x:f>IF(I184="оплачен",E184*F184-G184,0)</x:f>
        <x:v>0</x:v>
      </x:c>
      <x:c r="K184" s="8"/>
      <x:c r="L184" s="8" t="n">
        <x:f>J184-K184</x:f>
        <x:v>0</x:v>
      </x:c>
      <x:c r="M184" s="2" t="str">
        <x:f>TEXT(B184,"yyyy-mm")</x:f>
        <x:v>2026-09</x:v>
      </x:c>
      <x:c r="N184" s="2"/>
      <x:c r="O184" s="2"/>
      <x:c r="P184" s="2"/>
    </x:row>
    <x:row r="185" ht="26" customHeight="1">
      <x:c r="A185" s="2" t="str">
        <x:v>O184</x:v>
      </x:c>
      <x:c r="B185" s="7" t="d">
        <x:v>2026-09-16T00:00:00.000Z</x:v>
      </x:c>
      <x:c r="C185" s="2" t="str">
        <x:v>Настольная лампа</x:v>
      </x:c>
      <x:c r="D185" s="2" t="str">
        <x:v>Маркетплейс</x:v>
      </x:c>
      <x:c r="E185" s="29" t="n">
        <x:v>3</x:v>
      </x:c>
      <x:c r="F185" s="8" t="n">
        <x:v>2900</x:v>
      </x:c>
      <x:c r="G185" s="8" t="n">
        <x:v>1044</x:v>
      </x:c>
      <x:c r="H185" s="8" t="n">
        <x:v>1700</x:v>
      </x:c>
      <x:c r="I185" s="2" t="str">
        <x:v>оплачен</x:v>
      </x:c>
      <x:c r="J185" s="8" t="n">
        <x:f>IF(I185="оплачен",E185*F185-G185,0)</x:f>
        <x:v>7656</x:v>
      </x:c>
      <x:c r="K185" s="8"/>
      <x:c r="L185" s="8" t="n">
        <x:f>J185-K185</x:f>
        <x:v>7656</x:v>
      </x:c>
      <x:c r="M185" s="2" t="str">
        <x:f>TEXT(B185,"yyyy-mm")</x:f>
        <x:v>2026-09</x:v>
      </x:c>
      <x:c r="N185" s="2"/>
      <x:c r="O185" s="2"/>
      <x:c r="P185" s="2"/>
    </x:row>
    <x:row r="186" ht="26" customHeight="1">
      <x:c r="A186" s="2" t="str">
        <x:v>O185</x:v>
      </x:c>
      <x:c r="B186" s="7" t="d">
        <x:v>2026-09-17T00:00:00.000Z</x:v>
      </x:c>
      <x:c r="C186" s="2" t="str">
        <x:v>Настольная лампа</x:v>
      </x:c>
      <x:c r="D186" s="2" t="str">
        <x:v>Маркетплейс</x:v>
      </x:c>
      <x:c r="E186" s="29" t="n">
        <x:v>4</x:v>
      </x:c>
      <x:c r="F186" s="8" t="n">
        <x:v>2900</x:v>
      </x:c>
      <x:c r="G186" s="8" t="n">
        <x:v>1392</x:v>
      </x:c>
      <x:c r="H186" s="8" t="n">
        <x:v>1700</x:v>
      </x:c>
      <x:c r="I186" s="2" t="str">
        <x:v>оплачен</x:v>
      </x:c>
      <x:c r="J186" s="8" t="n">
        <x:f>IF(I186="оплачен",E186*F186-G186,0)</x:f>
        <x:v>10208</x:v>
      </x:c>
      <x:c r="K186" s="8"/>
      <x:c r="L186" s="8" t="n">
        <x:f>J186-K186</x:f>
        <x:v>10208</x:v>
      </x:c>
      <x:c r="M186" s="2" t="str">
        <x:f>TEXT(B186,"yyyy-mm")</x:f>
        <x:v>2026-09</x:v>
      </x:c>
      <x:c r="N186" s="2"/>
      <x:c r="O186" s="2"/>
      <x:c r="P186" s="2"/>
    </x:row>
    <x:row r="187" ht="26" customHeight="1">
      <x:c r="A187" s="2" t="str">
        <x:v>O186</x:v>
      </x:c>
      <x:c r="B187" s="7" t="d">
        <x:v>2026-09-18T00:00:00.000Z</x:v>
      </x:c>
      <x:c r="C187" s="2" t="str">
        <x:v>Планер</x:v>
      </x:c>
      <x:c r="D187" s="2" t="str">
        <x:v>Маркетплейс</x:v>
      </x:c>
      <x:c r="E187" s="29" t="n">
        <x:v>1</x:v>
      </x:c>
      <x:c r="F187" s="8" t="n">
        <x:v>800</x:v>
      </x:c>
      <x:c r="G187" s="8" t="n">
        <x:v>96</x:v>
      </x:c>
      <x:c r="H187" s="8" t="n">
        <x:v>280</x:v>
      </x:c>
      <x:c r="I187" s="2" t="str">
        <x:v>оплачен</x:v>
      </x:c>
      <x:c r="J187" s="8" t="n">
        <x:f>IF(I187="оплачен",E187*F187-G187,0)</x:f>
        <x:v>704</x:v>
      </x:c>
      <x:c r="K187" s="8"/>
      <x:c r="L187" s="8" t="n">
        <x:f>J187-K187</x:f>
        <x:v>704</x:v>
      </x:c>
      <x:c r="M187" s="2" t="str">
        <x:f>TEXT(B187,"yyyy-mm")</x:f>
        <x:v>2026-09</x:v>
      </x:c>
      <x:c r="N187" s="2"/>
      <x:c r="O187" s="2"/>
      <x:c r="P187" s="2"/>
    </x:row>
    <x:row r="188" ht="26" customHeight="1">
      <x:c r="A188" s="2" t="str">
        <x:v>O187</x:v>
      </x:c>
      <x:c r="B188" s="7" t="d">
        <x:v>2026-09-19T00:00:00.000Z</x:v>
      </x:c>
      <x:c r="C188" s="2" t="str">
        <x:v>Термокружка</x:v>
      </x:c>
      <x:c r="D188" s="2" t="str">
        <x:v>Сайт</x:v>
      </x:c>
      <x:c r="E188" s="29" t="n">
        <x:v>2</x:v>
      </x:c>
      <x:c r="F188" s="8" t="n">
        <x:v>1600</x:v>
      </x:c>
      <x:c r="G188" s="8" t="n">
        <x:v>96</x:v>
      </x:c>
      <x:c r="H188" s="8" t="n">
        <x:v>650</x:v>
      </x:c>
      <x:c r="I188" s="2" t="str">
        <x:v>оплачен</x:v>
      </x:c>
      <x:c r="J188" s="8" t="n">
        <x:f>IF(I188="оплачен",E188*F188-G188,0)</x:f>
        <x:v>3104</x:v>
      </x:c>
      <x:c r="K188" s="8"/>
      <x:c r="L188" s="8" t="n">
        <x:f>J188-K188</x:f>
        <x:v>3104</x:v>
      </x:c>
      <x:c r="M188" s="2" t="str">
        <x:f>TEXT(B188,"yyyy-mm")</x:f>
        <x:v>2026-09</x:v>
      </x:c>
      <x:c r="N188" s="2"/>
      <x:c r="O188" s="2"/>
      <x:c r="P188" s="2"/>
    </x:row>
    <x:row r="189" ht="26" customHeight="1">
      <x:c r="A189" s="2" t="str">
        <x:v>O188</x:v>
      </x:c>
      <x:c r="B189" s="7" t="d">
        <x:v>2026-09-20T00:00:00.000Z</x:v>
      </x:c>
      <x:c r="C189" s="2" t="str">
        <x:v>Термокружка</x:v>
      </x:c>
      <x:c r="D189" s="2" t="str">
        <x:v>Соцсети</x:v>
      </x:c>
      <x:c r="E189" s="29" t="n">
        <x:v>1</x:v>
      </x:c>
      <x:c r="F189" s="8" t="n">
        <x:v>1600</x:v>
      </x:c>
      <x:c r="G189" s="8" t="n">
        <x:v>48</x:v>
      </x:c>
      <x:c r="H189" s="8" t="n">
        <x:v>650</x:v>
      </x:c>
      <x:c r="I189" s="2" t="str">
        <x:v>возвращён</x:v>
      </x:c>
      <x:c r="J189" s="8" t="n">
        <x:f>IF(I189="оплачен",E189*F189-G189,0)</x:f>
        <x:v>0</x:v>
      </x:c>
      <x:c r="K189" s="8"/>
      <x:c r="L189" s="8" t="n">
        <x:f>J189-K189</x:f>
        <x:v>0</x:v>
      </x:c>
      <x:c r="M189" s="2" t="str">
        <x:f>TEXT(B189,"yyyy-mm")</x:f>
        <x:v>2026-09</x:v>
      </x:c>
      <x:c r="N189" s="2"/>
      <x:c r="O189" s="2"/>
      <x:c r="P189" s="2"/>
    </x:row>
    <x:row r="190" ht="26" customHeight="1">
      <x:c r="A190" s="2" t="str">
        <x:v>O189</x:v>
      </x:c>
      <x:c r="B190" s="7" t="d">
        <x:v>2026-09-21T00:00:00.000Z</x:v>
      </x:c>
      <x:c r="C190" s="2" t="str">
        <x:v>Термокружка</x:v>
      </x:c>
      <x:c r="D190" s="2" t="str">
        <x:v>Маркетплейс</x:v>
      </x:c>
      <x:c r="E190" s="29" t="n">
        <x:v>3</x:v>
      </x:c>
      <x:c r="F190" s="8" t="n">
        <x:v>1600</x:v>
      </x:c>
      <x:c r="G190" s="8" t="n">
        <x:v>576</x:v>
      </x:c>
      <x:c r="H190" s="8" t="n">
        <x:v>650</x:v>
      </x:c>
      <x:c r="I190" s="2" t="str">
        <x:v>оплачен</x:v>
      </x:c>
      <x:c r="J190" s="8" t="n">
        <x:f>IF(I190="оплачен",E190*F190-G190,0)</x:f>
        <x:v>4224</x:v>
      </x:c>
      <x:c r="K190" s="8"/>
      <x:c r="L190" s="8" t="n">
        <x:f>J190-K190</x:f>
        <x:v>4224</x:v>
      </x:c>
      <x:c r="M190" s="2" t="str">
        <x:f>TEXT(B190,"yyyy-mm")</x:f>
        <x:v>2026-09</x:v>
      </x:c>
      <x:c r="N190" s="2"/>
      <x:c r="O190" s="2"/>
      <x:c r="P190" s="2"/>
    </x:row>
    <x:row r="191" ht="26" customHeight="1">
      <x:c r="A191" s="2" t="str">
        <x:v>O190</x:v>
      </x:c>
      <x:c r="B191" s="7" t="d">
        <x:v>2026-09-22T00:00:00.000Z</x:v>
      </x:c>
      <x:c r="C191" s="2" t="str">
        <x:v>Термокружка</x:v>
      </x:c>
      <x:c r="D191" s="2" t="str">
        <x:v>Сайт</x:v>
      </x:c>
      <x:c r="E191" s="29" t="n">
        <x:v>4</x:v>
      </x:c>
      <x:c r="F191" s="8" t="n">
        <x:v>1600</x:v>
      </x:c>
      <x:c r="G191" s="8" t="n">
        <x:v>192</x:v>
      </x:c>
      <x:c r="H191" s="8" t="n">
        <x:v>650</x:v>
      </x:c>
      <x:c r="I191" s="2" t="str">
        <x:v>оплачен</x:v>
      </x:c>
      <x:c r="J191" s="8" t="n">
        <x:f>IF(I191="оплачен",E191*F191-G191,0)</x:f>
        <x:v>6208</x:v>
      </x:c>
      <x:c r="K191" s="8"/>
      <x:c r="L191" s="8" t="n">
        <x:f>J191-K191</x:f>
        <x:v>6208</x:v>
      </x:c>
      <x:c r="M191" s="2" t="str">
        <x:f>TEXT(B191,"yyyy-mm")</x:f>
        <x:v>2026-09</x:v>
      </x:c>
      <x:c r="N191" s="2"/>
      <x:c r="O191" s="2"/>
      <x:c r="P191" s="2"/>
    </x:row>
    <x:row r="192" ht="26" customHeight="1">
      <x:c r="A192" s="2" t="str">
        <x:v>O191</x:v>
      </x:c>
      <x:c r="B192" s="7" t="d">
        <x:v>2026-09-23T00:00:00.000Z</x:v>
      </x:c>
      <x:c r="C192" s="2" t="str">
        <x:v>Планер</x:v>
      </x:c>
      <x:c r="D192" s="2" t="str">
        <x:v>Маркетплейс</x:v>
      </x:c>
      <x:c r="E192" s="29" t="n">
        <x:v>3</x:v>
      </x:c>
      <x:c r="F192" s="8" t="n">
        <x:v>800</x:v>
      </x:c>
      <x:c r="G192" s="8" t="n">
        <x:v>288</x:v>
      </x:c>
      <x:c r="H192" s="8" t="n">
        <x:v>280</x:v>
      </x:c>
      <x:c r="I192" s="2" t="str">
        <x:v>оплачен</x:v>
      </x:c>
      <x:c r="J192" s="8" t="n">
        <x:f>IF(I192="оплачен",E192*F192-G192,0)</x:f>
        <x:v>2112</x:v>
      </x:c>
      <x:c r="K192" s="8"/>
      <x:c r="L192" s="8" t="n">
        <x:f>J192-K192</x:f>
        <x:v>2112</x:v>
      </x:c>
      <x:c r="M192" s="2" t="str">
        <x:f>TEXT(B192,"yyyy-mm")</x:f>
        <x:v>2026-09</x:v>
      </x:c>
      <x:c r="N192" s="2"/>
      <x:c r="O192" s="2"/>
      <x:c r="P192" s="2"/>
    </x:row>
    <x:row r="193" ht="26" customHeight="1">
      <x:c r="A193" s="2" t="str">
        <x:v>O192</x:v>
      </x:c>
      <x:c r="B193" s="7" t="d">
        <x:v>2026-09-24T00:00:00.000Z</x:v>
      </x:c>
      <x:c r="C193" s="2" t="str">
        <x:v>Рюкзак</x:v>
      </x:c>
      <x:c r="D193" s="2" t="str">
        <x:v>Соцсети</x:v>
      </x:c>
      <x:c r="E193" s="29" t="n">
        <x:v>3</x:v>
      </x:c>
      <x:c r="F193" s="8" t="n">
        <x:v>3600</x:v>
      </x:c>
      <x:c r="G193" s="8" t="n">
        <x:v>324</x:v>
      </x:c>
      <x:c r="H193" s="8" t="n">
        <x:v>1900</x:v>
      </x:c>
      <x:c r="I193" s="2" t="str">
        <x:v>оплачен</x:v>
      </x:c>
      <x:c r="J193" s="8" t="n">
        <x:f>IF(I193="оплачен",E193*F193-G193,0)</x:f>
        <x:v>10476</x:v>
      </x:c>
      <x:c r="K193" s="8"/>
      <x:c r="L193" s="8" t="n">
        <x:f>J193-K193</x:f>
        <x:v>10476</x:v>
      </x:c>
      <x:c r="M193" s="2" t="str">
        <x:f>TEXT(B193,"yyyy-mm")</x:f>
        <x:v>2026-09</x:v>
      </x:c>
      <x:c r="N193" s="2"/>
      <x:c r="O193" s="2"/>
      <x:c r="P193" s="2"/>
    </x:row>
    <x:row r="194" ht="26" customHeight="1">
      <x:c r="A194" s="2" t="str">
        <x:v>O193</x:v>
      </x:c>
      <x:c r="B194" s="7" t="d">
        <x:v>2026-09-25T00:00:00.000Z</x:v>
      </x:c>
      <x:c r="C194" s="2" t="str">
        <x:v>Рюкзак</x:v>
      </x:c>
      <x:c r="D194" s="2" t="str">
        <x:v>Маркетплейс</x:v>
      </x:c>
      <x:c r="E194" s="29" t="n">
        <x:v>1</x:v>
      </x:c>
      <x:c r="F194" s="8" t="n">
        <x:v>3600</x:v>
      </x:c>
      <x:c r="G194" s="8" t="n">
        <x:v>432</x:v>
      </x:c>
      <x:c r="H194" s="8" t="n">
        <x:v>1900</x:v>
      </x:c>
      <x:c r="I194" s="2" t="str">
        <x:v>оплачен</x:v>
      </x:c>
      <x:c r="J194" s="8" t="n">
        <x:f>IF(I194="оплачен",E194*F194-G194,0)</x:f>
        <x:v>3168</x:v>
      </x:c>
      <x:c r="K194" s="8"/>
      <x:c r="L194" s="8" t="n">
        <x:f>J194-K194</x:f>
        <x:v>3168</x:v>
      </x:c>
      <x:c r="M194" s="2" t="str">
        <x:f>TEXT(B194,"yyyy-mm")</x:f>
        <x:v>2026-09</x:v>
      </x:c>
      <x:c r="N194" s="2"/>
      <x:c r="O194" s="2"/>
      <x:c r="P194" s="2"/>
    </x:row>
    <x:row r="195" ht="26" customHeight="1">
      <x:c r="A195" s="2" t="str">
        <x:v>O194</x:v>
      </x:c>
      <x:c r="B195" s="7" t="d">
        <x:v>2026-09-26T00:00:00.000Z</x:v>
      </x:c>
      <x:c r="C195" s="2" t="str">
        <x:v>Термокружка</x:v>
      </x:c>
      <x:c r="D195" s="2" t="str">
        <x:v>Соцсети</x:v>
      </x:c>
      <x:c r="E195" s="29" t="n">
        <x:v>2</x:v>
      </x:c>
      <x:c r="F195" s="8" t="n">
        <x:v>1600</x:v>
      </x:c>
      <x:c r="G195" s="8" t="n">
        <x:v>96</x:v>
      </x:c>
      <x:c r="H195" s="8" t="n">
        <x:v>650</x:v>
      </x:c>
      <x:c r="I195" s="2" t="str">
        <x:v>оплачен</x:v>
      </x:c>
      <x:c r="J195" s="8" t="n">
        <x:f>IF(I195="оплачен",E195*F195-G195,0)</x:f>
        <x:v>3104</x:v>
      </x:c>
      <x:c r="K195" s="8"/>
      <x:c r="L195" s="8" t="n">
        <x:f>J195-K195</x:f>
        <x:v>3104</x:v>
      </x:c>
      <x:c r="M195" s="2" t="str">
        <x:f>TEXT(B195,"yyyy-mm")</x:f>
        <x:v>2026-09</x:v>
      </x:c>
      <x:c r="N195" s="2"/>
      <x:c r="O195" s="2"/>
      <x:c r="P195" s="2"/>
    </x:row>
    <x:row r="196" ht="26" customHeight="1">
      <x:c r="A196" s="2" t="str">
        <x:v>O195</x:v>
      </x:c>
      <x:c r="B196" s="7" t="d">
        <x:v>2026-09-27T00:00:00.000Z</x:v>
      </x:c>
      <x:c r="C196" s="2" t="str">
        <x:v>Настольная лампа</x:v>
      </x:c>
      <x:c r="D196" s="2" t="str">
        <x:v>Сайт</x:v>
      </x:c>
      <x:c r="E196" s="29" t="n">
        <x:v>4</x:v>
      </x:c>
      <x:c r="F196" s="8" t="n">
        <x:v>2900</x:v>
      </x:c>
      <x:c r="G196" s="8" t="n">
        <x:v>348</x:v>
      </x:c>
      <x:c r="H196" s="8" t="n">
        <x:v>1700</x:v>
      </x:c>
      <x:c r="I196" s="2" t="str">
        <x:v>оплачен</x:v>
      </x:c>
      <x:c r="J196" s="8" t="n">
        <x:f>IF(I196="оплачен",E196*F196-G196,0)</x:f>
        <x:v>11252</x:v>
      </x:c>
      <x:c r="K196" s="8"/>
      <x:c r="L196" s="8" t="n">
        <x:f>J196-K196</x:f>
        <x:v>11252</x:v>
      </x:c>
      <x:c r="M196" s="2" t="str">
        <x:f>TEXT(B196,"yyyy-mm")</x:f>
        <x:v>2026-09</x:v>
      </x:c>
      <x:c r="N196" s="2"/>
      <x:c r="O196" s="2"/>
      <x:c r="P196" s="2"/>
    </x:row>
    <x:row r="197" ht="26" customHeight="1">
      <x:c r="A197" s="2" t="str">
        <x:v>O196</x:v>
      </x:c>
      <x:c r="B197" s="7" t="d">
        <x:v>2026-09-28T00:00:00.000Z</x:v>
      </x:c>
      <x:c r="C197" s="2" t="str">
        <x:v>Планер</x:v>
      </x:c>
      <x:c r="D197" s="2" t="str">
        <x:v>Маркетплейс</x:v>
      </x:c>
      <x:c r="E197" s="29" t="n">
        <x:v>4</x:v>
      </x:c>
      <x:c r="F197" s="8" t="n">
        <x:v>800</x:v>
      </x:c>
      <x:c r="G197" s="8" t="n">
        <x:v>384</x:v>
      </x:c>
      <x:c r="H197" s="8" t="n">
        <x:v>280</x:v>
      </x:c>
      <x:c r="I197" s="2" t="str">
        <x:v>отменён</x:v>
      </x:c>
      <x:c r="J197" s="8" t="n">
        <x:f>IF(I197="оплачен",E197*F197-G197,0)</x:f>
        <x:v>0</x:v>
      </x:c>
      <x:c r="K197" s="8"/>
      <x:c r="L197" s="8" t="n">
        <x:f>J197-K197</x:f>
        <x:v>0</x:v>
      </x:c>
      <x:c r="M197" s="2" t="str">
        <x:f>TEXT(B197,"yyyy-mm")</x:f>
        <x:v>2026-09</x:v>
      </x:c>
      <x:c r="N197" s="2"/>
      <x:c r="O197" s="2"/>
      <x:c r="P197" s="2"/>
    </x:row>
    <x:row r="198" ht="26" customHeight="1">
      <x:c r="A198" s="2" t="str">
        <x:v>O197</x:v>
      </x:c>
      <x:c r="B198" s="7" t="d">
        <x:v>2026-09-01T00:00:00.000Z</x:v>
      </x:c>
      <x:c r="C198" s="2" t="str">
        <x:v>Настольная лампа</x:v>
      </x:c>
      <x:c r="D198" s="2" t="str">
        <x:v>Соцсети</x:v>
      </x:c>
      <x:c r="E198" s="29" t="n">
        <x:v>4</x:v>
      </x:c>
      <x:c r="F198" s="8" t="n">
        <x:v>2900</x:v>
      </x:c>
      <x:c r="G198" s="8" t="n">
        <x:v>348</x:v>
      </x:c>
      <x:c r="H198" s="8" t="n">
        <x:v>1700</x:v>
      </x:c>
      <x:c r="I198" s="2" t="str">
        <x:v>оплачен</x:v>
      </x:c>
      <x:c r="J198" s="8" t="n">
        <x:f>IF(I198="оплачен",E198*F198-G198,0)</x:f>
        <x:v>11252</x:v>
      </x:c>
      <x:c r="K198" s="8"/>
      <x:c r="L198" s="8" t="n">
        <x:f>J198-K198</x:f>
        <x:v>11252</x:v>
      </x:c>
      <x:c r="M198" s="2" t="str">
        <x:f>TEXT(B198,"yyyy-mm")</x:f>
        <x:v>2026-09</x:v>
      </x:c>
      <x:c r="N198" s="2"/>
      <x:c r="O198" s="2"/>
      <x:c r="P198" s="2"/>
    </x:row>
    <x:row r="199" ht="26" customHeight="1">
      <x:c r="A199" s="2" t="str">
        <x:v>O198</x:v>
      </x:c>
      <x:c r="B199" s="7" t="d">
        <x:v>2026-09-02T00:00:00.000Z</x:v>
      </x:c>
      <x:c r="C199" s="2" t="str">
        <x:v>Термокружка</x:v>
      </x:c>
      <x:c r="D199" s="2" t="str">
        <x:v>Маркетплейс</x:v>
      </x:c>
      <x:c r="E199" s="29" t="n">
        <x:v>1</x:v>
      </x:c>
      <x:c r="F199" s="8" t="n">
        <x:v>1600</x:v>
      </x:c>
      <x:c r="G199" s="8" t="n">
        <x:v>192</x:v>
      </x:c>
      <x:c r="H199" s="8" t="n">
        <x:v>650</x:v>
      </x:c>
      <x:c r="I199" s="2" t="str">
        <x:v>оплачен</x:v>
      </x:c>
      <x:c r="J199" s="8" t="n">
        <x:f>IF(I199="оплачен",E199*F199-G199,0)</x:f>
        <x:v>1408</x:v>
      </x:c>
      <x:c r="K199" s="8"/>
      <x:c r="L199" s="8" t="n">
        <x:f>J199-K199</x:f>
        <x:v>1408</x:v>
      </x:c>
      <x:c r="M199" s="2" t="str">
        <x:f>TEXT(B199,"yyyy-mm")</x:f>
        <x:v>2026-09</x:v>
      </x:c>
      <x:c r="N199" s="2"/>
      <x:c r="O199" s="2"/>
      <x:c r="P199" s="2"/>
    </x:row>
    <x:row r="200" ht="26" customHeight="1">
      <x:c r="A200" s="2" t="str">
        <x:v>O199</x:v>
      </x:c>
      <x:c r="B200" s="7" t="d">
        <x:v>2026-09-03T00:00:00.000Z</x:v>
      </x:c>
      <x:c r="C200" s="2" t="str">
        <x:v>Рюкзак</x:v>
      </x:c>
      <x:c r="D200" s="2" t="str">
        <x:v>Соцсети</x:v>
      </x:c>
      <x:c r="E200" s="29" t="n">
        <x:v>3</x:v>
      </x:c>
      <x:c r="F200" s="8" t="n">
        <x:v>3600</x:v>
      </x:c>
      <x:c r="G200" s="8" t="n">
        <x:v>324</x:v>
      </x:c>
      <x:c r="H200" s="8" t="n">
        <x:v>1900</x:v>
      </x:c>
      <x:c r="I200" s="2" t="str">
        <x:v>оплачен</x:v>
      </x:c>
      <x:c r="J200" s="8" t="n">
        <x:f>IF(I200="оплачен",E200*F200-G200,0)</x:f>
        <x:v>10476</x:v>
      </x:c>
      <x:c r="K200" s="8"/>
      <x:c r="L200" s="8" t="n">
        <x:f>J200-K200</x:f>
        <x:v>10476</x:v>
      </x:c>
      <x:c r="M200" s="2" t="str">
        <x:f>TEXT(B200,"yyyy-mm")</x:f>
        <x:v>2026-09</x:v>
      </x:c>
      <x:c r="N200" s="2"/>
      <x:c r="O200" s="2"/>
      <x:c r="P200" s="2"/>
    </x:row>
    <x:row r="201" ht="26" customHeight="1">
      <x:c r="A201" s="2" t="str">
        <x:v>O200</x:v>
      </x:c>
      <x:c r="B201" s="7" t="d">
        <x:v>2026-09-04T00:00:00.000Z</x:v>
      </x:c>
      <x:c r="C201" s="2" t="str">
        <x:v>Настольная лампа</x:v>
      </x:c>
      <x:c r="D201" s="2" t="str">
        <x:v>Соцсети</x:v>
      </x:c>
      <x:c r="E201" s="29" t="n">
        <x:v>1</x:v>
      </x:c>
      <x:c r="F201" s="8" t="n">
        <x:v>2900</x:v>
      </x:c>
      <x:c r="G201" s="8" t="n">
        <x:v>87</x:v>
      </x:c>
      <x:c r="H201" s="8" t="n">
        <x:v>1700</x:v>
      </x:c>
      <x:c r="I201" s="2" t="str">
        <x:v>оплачен</x:v>
      </x:c>
      <x:c r="J201" s="8" t="n">
        <x:f>IF(I201="оплачен",E201*F201-G201,0)</x:f>
        <x:v>2813</x:v>
      </x:c>
      <x:c r="K201" s="8"/>
      <x:c r="L201" s="8" t="n">
        <x:f>J201-K201</x:f>
        <x:v>2813</x:v>
      </x:c>
      <x:c r="M201" s="2" t="str">
        <x:f>TEXT(B201,"yyyy-mm")</x:f>
        <x:v>2026-09</x:v>
      </x:c>
      <x:c r="N201" s="2"/>
      <x:c r="O201" s="2"/>
      <x:c r="P201" s="2"/>
    </x:row>
    <x:row r="202" ht="26" customHeight="1">
      <x:c r="A202" s="2" t="str">
        <x:v>O201</x:v>
      </x:c>
      <x:c r="B202" s="7" t="d">
        <x:v>2026-09-05T00:00:00.000Z</x:v>
      </x:c>
      <x:c r="C202" s="2" t="str">
        <x:v>Рюкзак</x:v>
      </x:c>
      <x:c r="D202" s="2" t="str">
        <x:v>Сайт</x:v>
      </x:c>
      <x:c r="E202" s="29" t="n">
        <x:v>1</x:v>
      </x:c>
      <x:c r="F202" s="8" t="n">
        <x:v>3600</x:v>
      </x:c>
      <x:c r="G202" s="8" t="n">
        <x:v>108</x:v>
      </x:c>
      <x:c r="H202" s="8" t="n">
        <x:v>1900</x:v>
      </x:c>
      <x:c r="I202" s="2" t="str">
        <x:v>оплачен</x:v>
      </x:c>
      <x:c r="J202" s="8" t="n">
        <x:f>IF(I202="оплачен",E202*F202-G202,0)</x:f>
        <x:v>3492</x:v>
      </x:c>
      <x:c r="K202" s="8"/>
      <x:c r="L202" s="8" t="n">
        <x:f>J202-K202</x:f>
        <x:v>3492</x:v>
      </x:c>
      <x:c r="M202" s="2" t="str">
        <x:f>TEXT(B202,"yyyy-mm")</x:f>
        <x:v>2026-09</x:v>
      </x:c>
      <x:c r="N202" s="2"/>
      <x:c r="O202" s="2"/>
      <x:c r="P202" s="2"/>
    </x:row>
    <x:row r="203" ht="26" customHeight="1">
      <x:c r="A203" s="2" t="str">
        <x:v>O202</x:v>
      </x:c>
      <x:c r="B203" s="7" t="d">
        <x:v>2026-09-06T00:00:00.000Z</x:v>
      </x:c>
      <x:c r="C203" s="2" t="str">
        <x:v>Рюкзак</x:v>
      </x:c>
      <x:c r="D203" s="2" t="str">
        <x:v>Соцсети</x:v>
      </x:c>
      <x:c r="E203" s="29" t="n">
        <x:v>3</x:v>
      </x:c>
      <x:c r="F203" s="8" t="n">
        <x:v>3600</x:v>
      </x:c>
      <x:c r="G203" s="8" t="n">
        <x:v>324</x:v>
      </x:c>
      <x:c r="H203" s="8" t="n">
        <x:v>1900</x:v>
      </x:c>
      <x:c r="I203" s="2" t="str">
        <x:v>оплачен</x:v>
      </x:c>
      <x:c r="J203" s="8" t="n">
        <x:f>IF(I203="оплачен",E203*F203-G203,0)</x:f>
        <x:v>10476</x:v>
      </x:c>
      <x:c r="K203" s="8"/>
      <x:c r="L203" s="8" t="n">
        <x:f>J203-K203</x:f>
        <x:v>10476</x:v>
      </x:c>
      <x:c r="M203" s="2" t="str">
        <x:f>TEXT(B203,"yyyy-mm")</x:f>
        <x:v>2026-09</x:v>
      </x:c>
      <x:c r="N203" s="2"/>
      <x:c r="O203" s="2"/>
      <x:c r="P203" s="2"/>
    </x:row>
    <x:row r="204" ht="26" customHeight="1">
      <x:c r="A204" s="2" t="str">
        <x:v>O203</x:v>
      </x:c>
      <x:c r="B204" s="7" t="d">
        <x:v>2026-09-07T00:00:00.000Z</x:v>
      </x:c>
      <x:c r="C204" s="2" t="str">
        <x:v>Планер</x:v>
      </x:c>
      <x:c r="D204" s="2" t="str">
        <x:v>Маркетплейс</x:v>
      </x:c>
      <x:c r="E204" s="29" t="n">
        <x:v>2</x:v>
      </x:c>
      <x:c r="F204" s="8" t="n">
        <x:v>800</x:v>
      </x:c>
      <x:c r="G204" s="8" t="n">
        <x:v>192</x:v>
      </x:c>
      <x:c r="H204" s="8" t="n">
        <x:v>280</x:v>
      </x:c>
      <x:c r="I204" s="2" t="str">
        <x:v>оплачен</x:v>
      </x:c>
      <x:c r="J204" s="8" t="n">
        <x:f>IF(I204="оплачен",E204*F204-G204,0)</x:f>
        <x:v>1408</x:v>
      </x:c>
      <x:c r="K204" s="8"/>
      <x:c r="L204" s="8" t="n">
        <x:f>J204-K204</x:f>
        <x:v>1408</x:v>
      </x:c>
      <x:c r="M204" s="2" t="str">
        <x:f>TEXT(B204,"yyyy-mm")</x:f>
        <x:v>2026-09</x:v>
      </x:c>
      <x:c r="N204" s="2"/>
      <x:c r="O204" s="2"/>
      <x:c r="P204" s="2"/>
    </x:row>
    <x:row r="205" ht="26" customHeight="1">
      <x:c r="A205" s="2" t="str">
        <x:v>O204</x:v>
      </x:c>
      <x:c r="B205" s="7" t="d">
        <x:v>2026-09-08T00:00:00.000Z</x:v>
      </x:c>
      <x:c r="C205" s="2" t="str">
        <x:v>Рюкзак</x:v>
      </x:c>
      <x:c r="D205" s="2" t="str">
        <x:v>Маркетплейс</x:v>
      </x:c>
      <x:c r="E205" s="29" t="n">
        <x:v>1</x:v>
      </x:c>
      <x:c r="F205" s="8" t="n">
        <x:v>3600</x:v>
      </x:c>
      <x:c r="G205" s="8" t="n">
        <x:v>432</x:v>
      </x:c>
      <x:c r="H205" s="8" t="n">
        <x:v>1900</x:v>
      </x:c>
      <x:c r="I205" s="2" t="str">
        <x:v>оплачен</x:v>
      </x:c>
      <x:c r="J205" s="8" t="n">
        <x:f>IF(I205="оплачен",E205*F205-G205,0)</x:f>
        <x:v>3168</x:v>
      </x:c>
      <x:c r="K205" s="8"/>
      <x:c r="L205" s="8" t="n">
        <x:f>J205-K205</x:f>
        <x:v>3168</x:v>
      </x:c>
      <x:c r="M205" s="2" t="str">
        <x:f>TEXT(B205,"yyyy-mm")</x:f>
        <x:v>2026-09</x:v>
      </x:c>
      <x:c r="N205" s="2"/>
      <x:c r="O205" s="2"/>
      <x:c r="P205" s="2"/>
    </x:row>
    <x:row r="206" ht="26" customHeight="1">
      <x:c r="A206" s="2" t="str">
        <x:v>O205</x:v>
      </x:c>
      <x:c r="B206" s="7" t="d">
        <x:v>2026-09-09T00:00:00.000Z</x:v>
      </x:c>
      <x:c r="C206" s="2" t="str">
        <x:v>Планер</x:v>
      </x:c>
      <x:c r="D206" s="2" t="str">
        <x:v>Маркетплейс</x:v>
      </x:c>
      <x:c r="E206" s="29" t="n">
        <x:v>1</x:v>
      </x:c>
      <x:c r="F206" s="8" t="n">
        <x:v>800</x:v>
      </x:c>
      <x:c r="G206" s="8" t="n">
        <x:v>96</x:v>
      </x:c>
      <x:c r="H206" s="8" t="n">
        <x:v>280</x:v>
      </x:c>
      <x:c r="I206" s="2" t="str">
        <x:v>возвращён</x:v>
      </x:c>
      <x:c r="J206" s="8" t="n">
        <x:f>IF(I206="оплачен",E206*F206-G206,0)</x:f>
        <x:v>0</x:v>
      </x:c>
      <x:c r="K206" s="8"/>
      <x:c r="L206" s="8" t="n">
        <x:f>J206-K206</x:f>
        <x:v>0</x:v>
      </x:c>
      <x:c r="M206" s="2" t="str">
        <x:f>TEXT(B206,"yyyy-mm")</x:f>
        <x:v>2026-09</x:v>
      </x:c>
      <x:c r="N206" s="2"/>
      <x:c r="O206" s="2"/>
      <x:c r="P206" s="2"/>
    </x:row>
    <x:row r="207" ht="26" customHeight="1">
      <x:c r="A207" s="2" t="str">
        <x:v>O206</x:v>
      </x:c>
      <x:c r="B207" s="7" t="d">
        <x:v>2026-09-10T00:00:00.000Z</x:v>
      </x:c>
      <x:c r="C207" s="2" t="str">
        <x:v>Настольная лампа</x:v>
      </x:c>
      <x:c r="D207" s="2" t="str">
        <x:v>Соцсети</x:v>
      </x:c>
      <x:c r="E207" s="29" t="n">
        <x:v>2</x:v>
      </x:c>
      <x:c r="F207" s="8" t="n">
        <x:v>2900</x:v>
      </x:c>
      <x:c r="G207" s="8" t="n">
        <x:v>174</x:v>
      </x:c>
      <x:c r="H207" s="8" t="n">
        <x:v>1700</x:v>
      </x:c>
      <x:c r="I207" s="2" t="str">
        <x:v>оплачен</x:v>
      </x:c>
      <x:c r="J207" s="8" t="n">
        <x:f>IF(I207="оплачен",E207*F207-G207,0)</x:f>
        <x:v>5626</x:v>
      </x:c>
      <x:c r="K207" s="8"/>
      <x:c r="L207" s="8" t="n">
        <x:f>J207-K207</x:f>
        <x:v>5626</x:v>
      </x:c>
      <x:c r="M207" s="2" t="str">
        <x:f>TEXT(B207,"yyyy-mm")</x:f>
        <x:v>2026-09</x:v>
      </x:c>
      <x:c r="N207" s="2"/>
      <x:c r="O207" s="2"/>
      <x:c r="P207" s="2"/>
    </x:row>
    <x:row r="208" ht="26" customHeight="1">
      <x:c r="A208" s="2" t="str">
        <x:v>O207</x:v>
      </x:c>
      <x:c r="B208" s="7" t="d">
        <x:v>2026-09-11T00:00:00.000Z</x:v>
      </x:c>
      <x:c r="C208" s="2" t="str">
        <x:v>Планер</x:v>
      </x:c>
      <x:c r="D208" s="2" t="str">
        <x:v>Соцсети</x:v>
      </x:c>
      <x:c r="E208" s="29" t="n">
        <x:v>3</x:v>
      </x:c>
      <x:c r="F208" s="8" t="n">
        <x:v>800</x:v>
      </x:c>
      <x:c r="G208" s="8" t="n">
        <x:v>72</x:v>
      </x:c>
      <x:c r="H208" s="8" t="n">
        <x:v>280</x:v>
      </x:c>
      <x:c r="I208" s="2" t="str">
        <x:v>оплачен</x:v>
      </x:c>
      <x:c r="J208" s="8" t="n">
        <x:f>IF(I208="оплачен",E208*F208-G208,0)</x:f>
        <x:v>2328</x:v>
      </x:c>
      <x:c r="K208" s="8"/>
      <x:c r="L208" s="8" t="n">
        <x:f>J208-K208</x:f>
        <x:v>2328</x:v>
      </x:c>
      <x:c r="M208" s="2" t="str">
        <x:f>TEXT(B208,"yyyy-mm")</x:f>
        <x:v>2026-09</x:v>
      </x:c>
      <x:c r="N208" s="2"/>
      <x:c r="O208" s="2"/>
      <x:c r="P208" s="2"/>
    </x:row>
    <x:row r="209" ht="26" customHeight="1">
      <x:c r="A209" s="2" t="str">
        <x:v>O208</x:v>
      </x:c>
      <x:c r="B209" s="7" t="d">
        <x:v>2026-09-12T00:00:00.000Z</x:v>
      </x:c>
      <x:c r="C209" s="2" t="str">
        <x:v>Рюкзак</x:v>
      </x:c>
      <x:c r="D209" s="2" t="str">
        <x:v>Маркетплейс</x:v>
      </x:c>
      <x:c r="E209" s="29" t="n">
        <x:v>4</x:v>
      </x:c>
      <x:c r="F209" s="8" t="n">
        <x:v>3600</x:v>
      </x:c>
      <x:c r="G209" s="8" t="n">
        <x:v>1728</x:v>
      </x:c>
      <x:c r="H209" s="8" t="n">
        <x:v>1900</x:v>
      </x:c>
      <x:c r="I209" s="2" t="str">
        <x:v>оплачен</x:v>
      </x:c>
      <x:c r="J209" s="8" t="n">
        <x:f>IF(I209="оплачен",E209*F209-G209,0)</x:f>
        <x:v>12672</x:v>
      </x:c>
      <x:c r="K209" s="8"/>
      <x:c r="L209" s="8" t="n">
        <x:f>J209-K209</x:f>
        <x:v>12672</x:v>
      </x:c>
      <x:c r="M209" s="2" t="str">
        <x:f>TEXT(B209,"yyyy-mm")</x:f>
        <x:v>2026-09</x:v>
      </x:c>
      <x:c r="N209" s="2"/>
      <x:c r="O209" s="2"/>
      <x:c r="P209" s="2"/>
    </x:row>
    <x:row r="210" ht="26" customHeight="1">
      <x:c r="A210" s="2" t="str">
        <x:v>O209</x:v>
      </x:c>
      <x:c r="B210" s="7" t="d">
        <x:v>2026-09-13T00:00:00.000Z</x:v>
      </x:c>
      <x:c r="C210" s="2" t="str">
        <x:v>Планер</x:v>
      </x:c>
      <x:c r="D210" s="2" t="str">
        <x:v>Маркетплейс</x:v>
      </x:c>
      <x:c r="E210" s="29" t="n">
        <x:v>3</x:v>
      </x:c>
      <x:c r="F210" s="8" t="n">
        <x:v>800</x:v>
      </x:c>
      <x:c r="G210" s="8" t="n">
        <x:v>288</x:v>
      </x:c>
      <x:c r="H210" s="8" t="n">
        <x:v>280</x:v>
      </x:c>
      <x:c r="I210" s="2" t="str">
        <x:v>отменён</x:v>
      </x:c>
      <x:c r="J210" s="8" t="n">
        <x:f>IF(I210="оплачен",E210*F210-G210,0)</x:f>
        <x:v>0</x:v>
      </x:c>
      <x:c r="K210" s="8"/>
      <x:c r="L210" s="8" t="n">
        <x:f>J210-K210</x:f>
        <x:v>0</x:v>
      </x:c>
      <x:c r="M210" s="2" t="str">
        <x:f>TEXT(B210,"yyyy-mm")</x:f>
        <x:v>2026-09</x:v>
      </x:c>
      <x:c r="N210" s="2"/>
      <x:c r="O210" s="2"/>
      <x:c r="P210" s="2"/>
    </x:row>
    <x:row r="211" ht="26" customHeight="1">
      <x:c r="A211" s="2" t="str">
        <x:v>O210</x:v>
      </x:c>
      <x:c r="B211" s="7" t="d">
        <x:v>2026-09-14T00:00:00.000Z</x:v>
      </x:c>
      <x:c r="C211" s="2" t="str">
        <x:v>Планер</x:v>
      </x:c>
      <x:c r="D211" s="2" t="str">
        <x:v>Соцсети</x:v>
      </x:c>
      <x:c r="E211" s="29" t="n">
        <x:v>1</x:v>
      </x:c>
      <x:c r="F211" s="8" t="n">
        <x:v>800</x:v>
      </x:c>
      <x:c r="G211" s="8" t="n">
        <x:v>24</x:v>
      </x:c>
      <x:c r="H211" s="8" t="n">
        <x:v>280</x:v>
      </x:c>
      <x:c r="I211" s="2" t="str">
        <x:v>оплачен</x:v>
      </x:c>
      <x:c r="J211" s="8" t="n">
        <x:f>IF(I211="оплачен",E211*F211-G211,0)</x:f>
        <x:v>776</x:v>
      </x:c>
      <x:c r="K211" s="8"/>
      <x:c r="L211" s="8" t="n">
        <x:f>J211-K211</x:f>
        <x:v>776</x:v>
      </x:c>
      <x:c r="M211" s="2" t="str">
        <x:f>TEXT(B211,"yyyy-mm")</x:f>
        <x:v>2026-09</x:v>
      </x:c>
      <x:c r="N211" s="2"/>
      <x:c r="O211" s="2"/>
      <x:c r="P211" s="2"/>
    </x:row>
    <x:row r="212" ht="26" customHeight="1">
      <x:c r="A212" s="2" t="str">
        <x:v>O211</x:v>
      </x:c>
      <x:c r="B212" s="7" t="d">
        <x:v>2026-09-15T00:00:00.000Z</x:v>
      </x:c>
      <x:c r="C212" s="2" t="str">
        <x:v>Рюкзак</x:v>
      </x:c>
      <x:c r="D212" s="2" t="str">
        <x:v>Сайт</x:v>
      </x:c>
      <x:c r="E212" s="29" t="n">
        <x:v>3</x:v>
      </x:c>
      <x:c r="F212" s="8" t="n">
        <x:v>3600</x:v>
      </x:c>
      <x:c r="G212" s="8" t="n">
        <x:v>324</x:v>
      </x:c>
      <x:c r="H212" s="8" t="n">
        <x:v>1900</x:v>
      </x:c>
      <x:c r="I212" s="2" t="str">
        <x:v>оплачен</x:v>
      </x:c>
      <x:c r="J212" s="8" t="n">
        <x:f>IF(I212="оплачен",E212*F212-G212,0)</x:f>
        <x:v>10476</x:v>
      </x:c>
      <x:c r="K212" s="8"/>
      <x:c r="L212" s="8" t="n">
        <x:f>J212-K212</x:f>
        <x:v>10476</x:v>
      </x:c>
      <x:c r="M212" s="2" t="str">
        <x:f>TEXT(B212,"yyyy-mm")</x:f>
        <x:v>2026-09</x:v>
      </x:c>
      <x:c r="N212" s="2"/>
      <x:c r="O212" s="2"/>
      <x:c r="P212" s="2"/>
    </x:row>
    <x:row r="213" ht="26" customHeight="1">
      <x:c r="A213" s="2" t="str">
        <x:v>O212</x:v>
      </x:c>
      <x:c r="B213" s="7" t="d">
        <x:v>2026-09-16T00:00:00.000Z</x:v>
      </x:c>
      <x:c r="C213" s="2" t="str">
        <x:v>Рюкзак</x:v>
      </x:c>
      <x:c r="D213" s="2" t="str">
        <x:v>Сайт</x:v>
      </x:c>
      <x:c r="E213" s="29" t="n">
        <x:v>3</x:v>
      </x:c>
      <x:c r="F213" s="8" t="n">
        <x:v>3600</x:v>
      </x:c>
      <x:c r="G213" s="8" t="n">
        <x:v>324</x:v>
      </x:c>
      <x:c r="H213" s="8" t="n">
        <x:v>1900</x:v>
      </x:c>
      <x:c r="I213" s="2" t="str">
        <x:v>оплачен</x:v>
      </x:c>
      <x:c r="J213" s="8" t="n">
        <x:f>IF(I213="оплачен",E213*F213-G213,0)</x:f>
        <x:v>10476</x:v>
      </x:c>
      <x:c r="K213" s="8"/>
      <x:c r="L213" s="8" t="n">
        <x:f>J213-K213</x:f>
        <x:v>10476</x:v>
      </x:c>
      <x:c r="M213" s="2" t="str">
        <x:f>TEXT(B213,"yyyy-mm")</x:f>
        <x:v>2026-09</x:v>
      </x:c>
      <x:c r="N213" s="2"/>
      <x:c r="O213" s="2"/>
      <x:c r="P213" s="2"/>
    </x:row>
    <x:row r="214" ht="26" customHeight="1">
      <x:c r="A214" s="2" t="str">
        <x:v>O213</x:v>
      </x:c>
      <x:c r="B214" s="7" t="d">
        <x:v>2026-09-17T00:00:00.000Z</x:v>
      </x:c>
      <x:c r="C214" s="2" t="str">
        <x:v>Термокружка</x:v>
      </x:c>
      <x:c r="D214" s="2" t="str">
        <x:v>Маркетплейс</x:v>
      </x:c>
      <x:c r="E214" s="29" t="n">
        <x:v>2</x:v>
      </x:c>
      <x:c r="F214" s="8" t="n">
        <x:v>1600</x:v>
      </x:c>
      <x:c r="G214" s="8" t="n">
        <x:v>384</x:v>
      </x:c>
      <x:c r="H214" s="8" t="n">
        <x:v>650</x:v>
      </x:c>
      <x:c r="I214" s="2" t="str">
        <x:v>оплачен</x:v>
      </x:c>
      <x:c r="J214" s="8" t="n">
        <x:f>IF(I214="оплачен",E214*F214-G214,0)</x:f>
        <x:v>2816</x:v>
      </x:c>
      <x:c r="K214" s="8"/>
      <x:c r="L214" s="8" t="n">
        <x:f>J214-K214</x:f>
        <x:v>2816</x:v>
      </x:c>
      <x:c r="M214" s="2" t="str">
        <x:f>TEXT(B214,"yyyy-mm")</x:f>
        <x:v>2026-09</x:v>
      </x:c>
      <x:c r="N214" s="2"/>
      <x:c r="O214" s="2"/>
      <x:c r="P214" s="2"/>
    </x:row>
    <x:row r="215" ht="26" customHeight="1">
      <x:c r="A215" s="2" t="str">
        <x:v>O214</x:v>
      </x:c>
      <x:c r="B215" s="7" t="d">
        <x:v>2026-09-18T00:00:00.000Z</x:v>
      </x:c>
      <x:c r="C215" s="2" t="str">
        <x:v>Рюкзак</x:v>
      </x:c>
      <x:c r="D215" s="2" t="str">
        <x:v>Соцсети</x:v>
      </x:c>
      <x:c r="E215" s="29" t="n">
        <x:v>1</x:v>
      </x:c>
      <x:c r="F215" s="8" t="n">
        <x:v>3600</x:v>
      </x:c>
      <x:c r="G215" s="8" t="n">
        <x:v>108</x:v>
      </x:c>
      <x:c r="H215" s="8" t="n">
        <x:v>1900</x:v>
      </x:c>
      <x:c r="I215" s="2" t="str">
        <x:v>оплачен</x:v>
      </x:c>
      <x:c r="J215" s="8" t="n">
        <x:f>IF(I215="оплачен",E215*F215-G215,0)</x:f>
        <x:v>3492</x:v>
      </x:c>
      <x:c r="K215" s="8"/>
      <x:c r="L215" s="8" t="n">
        <x:f>J215-K215</x:f>
        <x:v>3492</x:v>
      </x:c>
      <x:c r="M215" s="2" t="str">
        <x:f>TEXT(B215,"yyyy-mm")</x:f>
        <x:v>2026-09</x:v>
      </x:c>
      <x:c r="N215" s="2"/>
      <x:c r="O215" s="2"/>
      <x:c r="P215" s="2"/>
    </x:row>
    <x:row r="216" ht="26" customHeight="1">
      <x:c r="A216" s="2" t="str">
        <x:v>O215</x:v>
      </x:c>
      <x:c r="B216" s="7" t="d">
        <x:v>2026-09-19T00:00:00.000Z</x:v>
      </x:c>
      <x:c r="C216" s="2" t="str">
        <x:v>Планер</x:v>
      </x:c>
      <x:c r="D216" s="2" t="str">
        <x:v>Маркетплейс</x:v>
      </x:c>
      <x:c r="E216" s="29" t="n">
        <x:v>4</x:v>
      </x:c>
      <x:c r="F216" s="8" t="n">
        <x:v>800</x:v>
      </x:c>
      <x:c r="G216" s="8" t="n">
        <x:v>384</x:v>
      </x:c>
      <x:c r="H216" s="8" t="n">
        <x:v>280</x:v>
      </x:c>
      <x:c r="I216" s="2" t="str">
        <x:v>оплачен</x:v>
      </x:c>
      <x:c r="J216" s="8" t="n">
        <x:f>IF(I216="оплачен",E216*F216-G216,0)</x:f>
        <x:v>2816</x:v>
      </x:c>
      <x:c r="K216" s="8"/>
      <x:c r="L216" s="8" t="n">
        <x:f>J216-K216</x:f>
        <x:v>2816</x:v>
      </x:c>
      <x:c r="M216" s="2" t="str">
        <x:f>TEXT(B216,"yyyy-mm")</x:f>
        <x:v>2026-09</x:v>
      </x:c>
      <x:c r="N216" s="2"/>
      <x:c r="O216" s="2"/>
      <x:c r="P216" s="2"/>
    </x:row>
    <x:row r="217" ht="26" customHeight="1">
      <x:c r="A217" s="2" t="str">
        <x:v>O216</x:v>
      </x:c>
      <x:c r="B217" s="7" t="d">
        <x:v>2026-09-20T00:00:00.000Z</x:v>
      </x:c>
      <x:c r="C217" s="2" t="str">
        <x:v>Планер</x:v>
      </x:c>
      <x:c r="D217" s="2" t="str">
        <x:v>Маркетплейс</x:v>
      </x:c>
      <x:c r="E217" s="29" t="n">
        <x:v>3</x:v>
      </x:c>
      <x:c r="F217" s="8" t="n">
        <x:v>800</x:v>
      </x:c>
      <x:c r="G217" s="8" t="n">
        <x:v>288</x:v>
      </x:c>
      <x:c r="H217" s="8" t="n">
        <x:v>280</x:v>
      </x:c>
      <x:c r="I217" s="2" t="str">
        <x:v>оплачен</x:v>
      </x:c>
      <x:c r="J217" s="8" t="n">
        <x:f>IF(I217="оплачен",E217*F217-G217,0)</x:f>
        <x:v>2112</x:v>
      </x:c>
      <x:c r="K217" s="8"/>
      <x:c r="L217" s="8" t="n">
        <x:f>J217-K217</x:f>
        <x:v>2112</x:v>
      </x:c>
      <x:c r="M217" s="2" t="str">
        <x:f>TEXT(B217,"yyyy-mm")</x:f>
        <x:v>2026-09</x:v>
      </x:c>
      <x:c r="N217" s="2"/>
      <x:c r="O217" s="2"/>
      <x:c r="P217" s="2"/>
    </x:row>
    <x:row r="218" ht="26" customHeight="1">
      <x:c r="A218" s="2" t="str">
        <x:v>O217</x:v>
      </x:c>
      <x:c r="B218" s="7" t="d">
        <x:v>2026-09-21T00:00:00.000Z</x:v>
      </x:c>
      <x:c r="C218" s="2" t="str">
        <x:v>Термокружка</x:v>
      </x:c>
      <x:c r="D218" s="2" t="str">
        <x:v>Маркетплейс</x:v>
      </x:c>
      <x:c r="E218" s="29" t="n">
        <x:v>3</x:v>
      </x:c>
      <x:c r="F218" s="8" t="n">
        <x:v>1600</x:v>
      </x:c>
      <x:c r="G218" s="8" t="n">
        <x:v>576</x:v>
      </x:c>
      <x:c r="H218" s="8" t="n">
        <x:v>650</x:v>
      </x:c>
      <x:c r="I218" s="2" t="str">
        <x:v>оплачен</x:v>
      </x:c>
      <x:c r="J218" s="8" t="n">
        <x:f>IF(I218="оплачен",E218*F218-G218,0)</x:f>
        <x:v>4224</x:v>
      </x:c>
      <x:c r="K218" s="8"/>
      <x:c r="L218" s="8" t="n">
        <x:f>J218-K218</x:f>
        <x:v>4224</x:v>
      </x:c>
      <x:c r="M218" s="2" t="str">
        <x:f>TEXT(B218,"yyyy-mm")</x:f>
        <x:v>2026-09</x:v>
      </x:c>
      <x:c r="N218" s="2"/>
      <x:c r="O218" s="2"/>
      <x:c r="P218" s="2"/>
    </x:row>
    <x:row r="219" ht="26" customHeight="1">
      <x:c r="A219" s="2" t="str">
        <x:v>O218</x:v>
      </x:c>
      <x:c r="B219" s="7" t="d">
        <x:v>2026-09-22T00:00:00.000Z</x:v>
      </x:c>
      <x:c r="C219" s="2" t="str">
        <x:v>Рюкзак</x:v>
      </x:c>
      <x:c r="D219" s="2" t="str">
        <x:v>Маркетплейс</x:v>
      </x:c>
      <x:c r="E219" s="29" t="n">
        <x:v>2</x:v>
      </x:c>
      <x:c r="F219" s="8" t="n">
        <x:v>3600</x:v>
      </x:c>
      <x:c r="G219" s="8" t="n">
        <x:v>864</x:v>
      </x:c>
      <x:c r="H219" s="8" t="n">
        <x:v>1900</x:v>
      </x:c>
      <x:c r="I219" s="2" t="str">
        <x:v>оплачен</x:v>
      </x:c>
      <x:c r="J219" s="8" t="n">
        <x:f>IF(I219="оплачен",E219*F219-G219,0)</x:f>
        <x:v>6336</x:v>
      </x:c>
      <x:c r="K219" s="8"/>
      <x:c r="L219" s="8" t="n">
        <x:f>J219-K219</x:f>
        <x:v>6336</x:v>
      </x:c>
      <x:c r="M219" s="2" t="str">
        <x:f>TEXT(B219,"yyyy-mm")</x:f>
        <x:v>2026-09</x:v>
      </x:c>
      <x:c r="N219" s="2"/>
      <x:c r="O219" s="2"/>
      <x:c r="P219" s="2"/>
    </x:row>
    <x:row r="220" ht="26" customHeight="1">
      <x:c r="A220" s="2" t="str">
        <x:v>O219</x:v>
      </x:c>
      <x:c r="B220" s="7" t="d">
        <x:v>2026-09-23T00:00:00.000Z</x:v>
      </x:c>
      <x:c r="C220" s="2" t="str">
        <x:v>Термокружка</x:v>
      </x:c>
      <x:c r="D220" s="2" t="str">
        <x:v>Маркетплейс</x:v>
      </x:c>
      <x:c r="E220" s="29" t="n">
        <x:v>1</x:v>
      </x:c>
      <x:c r="F220" s="8" t="n">
        <x:v>1600</x:v>
      </x:c>
      <x:c r="G220" s="8" t="n">
        <x:v>192</x:v>
      </x:c>
      <x:c r="H220" s="8" t="n">
        <x:v>650</x:v>
      </x:c>
      <x:c r="I220" s="2" t="str">
        <x:v>оплачен</x:v>
      </x:c>
      <x:c r="J220" s="8" t="n">
        <x:f>IF(I220="оплачен",E220*F220-G220,0)</x:f>
        <x:v>1408</x:v>
      </x:c>
      <x:c r="K220" s="8"/>
      <x:c r="L220" s="8" t="n">
        <x:f>J220-K220</x:f>
        <x:v>1408</x:v>
      </x:c>
      <x:c r="M220" s="2" t="str">
        <x:f>TEXT(B220,"yyyy-mm")</x:f>
        <x:v>2026-09</x:v>
      </x:c>
      <x:c r="N220" s="2"/>
      <x:c r="O220" s="2"/>
      <x:c r="P220" s="2"/>
    </x:row>
    <x:row r="221" ht="26" customHeight="1">
      <x:c r="A221" s="2" t="str">
        <x:v>O220</x:v>
      </x:c>
      <x:c r="B221" s="7" t="d">
        <x:v>2026-09-24T00:00:00.000Z</x:v>
      </x:c>
      <x:c r="C221" s="2" t="str">
        <x:v>Настольная лампа</x:v>
      </x:c>
      <x:c r="D221" s="2" t="str">
        <x:v>Маркетплейс</x:v>
      </x:c>
      <x:c r="E221" s="29" t="n">
        <x:v>1</x:v>
      </x:c>
      <x:c r="F221" s="8" t="n">
        <x:v>2900</x:v>
      </x:c>
      <x:c r="G221" s="8" t="n">
        <x:v>348</x:v>
      </x:c>
      <x:c r="H221" s="8" t="n">
        <x:v>1700</x:v>
      </x:c>
      <x:c r="I221" s="2" t="str">
        <x:v>оплачен</x:v>
      </x:c>
      <x:c r="J221" s="8" t="n">
        <x:f>IF(I221="оплачен",E221*F221-G221,0)</x:f>
        <x:v>2552</x:v>
      </x:c>
      <x:c r="K221" s="8"/>
      <x:c r="L221" s="8" t="n">
        <x:f>J221-K221</x:f>
        <x:v>2552</x:v>
      </x:c>
      <x:c r="M221" s="2" t="str">
        <x:f>TEXT(B221,"yyyy-mm")</x:f>
        <x:v>2026-09</x:v>
      </x:c>
      <x:c r="N221" s="2"/>
      <x:c r="O221" s="2"/>
      <x:c r="P221" s="2"/>
    </x:row>
    <x:row r="222" ht="26" customHeight="1">
      <x:c r="A222" s="2" t="str">
        <x:v>O221</x:v>
      </x:c>
      <x:c r="B222" s="7" t="d">
        <x:v>2026-09-25T00:00:00.000Z</x:v>
      </x:c>
      <x:c r="C222" s="2" t="str">
        <x:v>Рюкзак</x:v>
      </x:c>
      <x:c r="D222" s="2" t="str">
        <x:v>Маркетплейс</x:v>
      </x:c>
      <x:c r="E222" s="29" t="n">
        <x:v>2</x:v>
      </x:c>
      <x:c r="F222" s="8" t="n">
        <x:v>3600</x:v>
      </x:c>
      <x:c r="G222" s="8" t="n">
        <x:v>864</x:v>
      </x:c>
      <x:c r="H222" s="8" t="n">
        <x:v>1900</x:v>
      </x:c>
      <x:c r="I222" s="2" t="str">
        <x:v>оплачен</x:v>
      </x:c>
      <x:c r="J222" s="8" t="n">
        <x:f>IF(I222="оплачен",E222*F222-G222,0)</x:f>
        <x:v>6336</x:v>
      </x:c>
      <x:c r="K222" s="8"/>
      <x:c r="L222" s="8" t="n">
        <x:f>J222-K222</x:f>
        <x:v>6336</x:v>
      </x:c>
      <x:c r="M222" s="2" t="str">
        <x:f>TEXT(B222,"yyyy-mm")</x:f>
        <x:v>2026-09</x:v>
      </x:c>
      <x:c r="N222" s="2"/>
      <x:c r="O222" s="2"/>
      <x:c r="P222" s="2"/>
    </x:row>
    <x:row r="223" ht="26" customHeight="1">
      <x:c r="A223" s="2" t="str">
        <x:v>O222</x:v>
      </x:c>
      <x:c r="B223" s="7" t="d">
        <x:v>2026-09-26T00:00:00.000Z</x:v>
      </x:c>
      <x:c r="C223" s="2" t="str">
        <x:v>Рюкзак</x:v>
      </x:c>
      <x:c r="D223" s="2" t="str">
        <x:v>Маркетплейс</x:v>
      </x:c>
      <x:c r="E223" s="29" t="n">
        <x:v>1</x:v>
      </x:c>
      <x:c r="F223" s="8" t="n">
        <x:v>3600</x:v>
      </x:c>
      <x:c r="G223" s="8" t="n">
        <x:v>432</x:v>
      </x:c>
      <x:c r="H223" s="8" t="n">
        <x:v>1900</x:v>
      </x:c>
      <x:c r="I223" s="2" t="str">
        <x:v>возвращён</x:v>
      </x:c>
      <x:c r="J223" s="8" t="n">
        <x:f>IF(I223="оплачен",E223*F223-G223,0)</x:f>
        <x:v>0</x:v>
      </x:c>
      <x:c r="K223" s="8"/>
      <x:c r="L223" s="8" t="n">
        <x:f>J223-K223</x:f>
        <x:v>0</x:v>
      </x:c>
      <x:c r="M223" s="2" t="str">
        <x:f>TEXT(B223,"yyyy-mm")</x:f>
        <x:v>2026-09</x:v>
      </x:c>
      <x:c r="N223" s="2"/>
      <x:c r="O223" s="2"/>
      <x:c r="P223" s="2"/>
    </x:row>
    <x:row r="224" ht="26" customHeight="1">
      <x:c r="A224" s="2" t="str">
        <x:v>O223</x:v>
      </x:c>
      <x:c r="B224" s="7" t="d">
        <x:v>2026-09-27T00:00:00.000Z</x:v>
      </x:c>
      <x:c r="C224" s="2" t="str">
        <x:v>Планер</x:v>
      </x:c>
      <x:c r="D224" s="2" t="str">
        <x:v>Соцсети</x:v>
      </x:c>
      <x:c r="E224" s="29" t="n">
        <x:v>1</x:v>
      </x:c>
      <x:c r="F224" s="8" t="n">
        <x:v>800</x:v>
      </x:c>
      <x:c r="G224" s="8" t="n">
        <x:v>24</x:v>
      </x:c>
      <x:c r="H224" s="8" t="n">
        <x:v>280</x:v>
      </x:c>
      <x:c r="I224" s="2" t="str">
        <x:v>оплачен</x:v>
      </x:c>
      <x:c r="J224" s="8" t="n">
        <x:f>IF(I224="оплачен",E224*F224-G224,0)</x:f>
        <x:v>776</x:v>
      </x:c>
      <x:c r="K224" s="8"/>
      <x:c r="L224" s="8" t="n">
        <x:f>J224-K224</x:f>
        <x:v>776</x:v>
      </x:c>
      <x:c r="M224" s="2" t="str">
        <x:f>TEXT(B224,"yyyy-mm")</x:f>
        <x:v>2026-09</x:v>
      </x:c>
      <x:c r="N224" s="2"/>
      <x:c r="O224" s="2"/>
      <x:c r="P224" s="2"/>
    </x:row>
    <x:row r="225" ht="26" customHeight="1">
      <x:c r="A225" s="2" t="str">
        <x:v>O224</x:v>
      </x:c>
      <x:c r="B225" s="7" t="d">
        <x:v>2026-09-28T00:00:00.000Z</x:v>
      </x:c>
      <x:c r="C225" s="2" t="str">
        <x:v>Рюкзак</x:v>
      </x:c>
      <x:c r="D225" s="2" t="str">
        <x:v>Сайт</x:v>
      </x:c>
      <x:c r="E225" s="29" t="n">
        <x:v>3</x:v>
      </x:c>
      <x:c r="F225" s="8" t="n">
        <x:v>3600</x:v>
      </x:c>
      <x:c r="G225" s="8" t="n">
        <x:v>324</x:v>
      </x:c>
      <x:c r="H225" s="8" t="n">
        <x:v>1900</x:v>
      </x:c>
      <x:c r="I225" s="2" t="str">
        <x:v>оплачен</x:v>
      </x:c>
      <x:c r="J225" s="8" t="n">
        <x:f>IF(I225="оплачен",E225*F225-G225,0)</x:f>
        <x:v>10476</x:v>
      </x:c>
      <x:c r="K225" s="8"/>
      <x:c r="L225" s="8" t="n">
        <x:f>J225-K225</x:f>
        <x:v>10476</x:v>
      </x:c>
      <x:c r="M225" s="2" t="str">
        <x:f>TEXT(B225,"yyyy-mm")</x:f>
        <x:v>2026-09</x:v>
      </x:c>
      <x:c r="N225" s="2"/>
      <x:c r="O225" s="2"/>
      <x:c r="P225" s="2"/>
    </x:row>
    <x:row r="226" ht="26" customHeight="1">
      <x:c r="A226" s="2" t="str">
        <x:v>O225</x:v>
      </x:c>
      <x:c r="B226" s="7" t="d">
        <x:v>2026-09-01T00:00:00.000Z</x:v>
      </x:c>
      <x:c r="C226" s="2" t="str">
        <x:v>Рюкзак</x:v>
      </x:c>
      <x:c r="D226" s="2" t="str">
        <x:v>Сайт</x:v>
      </x:c>
      <x:c r="E226" s="29" t="n">
        <x:v>4</x:v>
      </x:c>
      <x:c r="F226" s="8" t="n">
        <x:v>3600</x:v>
      </x:c>
      <x:c r="G226" s="8" t="n">
        <x:v>432</x:v>
      </x:c>
      <x:c r="H226" s="8" t="n">
        <x:v>1900</x:v>
      </x:c>
      <x:c r="I226" s="2" t="str">
        <x:v>оплачен</x:v>
      </x:c>
      <x:c r="J226" s="8" t="n">
        <x:f>IF(I226="оплачен",E226*F226-G226,0)</x:f>
        <x:v>13968</x:v>
      </x:c>
      <x:c r="K226" s="8"/>
      <x:c r="L226" s="8" t="n">
        <x:f>J226-K226</x:f>
        <x:v>13968</x:v>
      </x:c>
      <x:c r="M226" s="2" t="str">
        <x:f>TEXT(B226,"yyyy-mm")</x:f>
        <x:v>2026-09</x:v>
      </x:c>
      <x:c r="N226" s="2"/>
      <x:c r="O226" s="2"/>
      <x:c r="P226" s="2"/>
    </x:row>
    <x:row r="227" ht="26" customHeight="1">
      <x:c r="A227" s="2" t="str">
        <x:v>O226</x:v>
      </x:c>
      <x:c r="B227" s="7" t="d">
        <x:v>2026-09-02T00:00:00.000Z</x:v>
      </x:c>
      <x:c r="C227" s="2" t="str">
        <x:v>Термокружка</x:v>
      </x:c>
      <x:c r="D227" s="2" t="str">
        <x:v>Маркетплейс</x:v>
      </x:c>
      <x:c r="E227" s="29" t="n">
        <x:v>4</x:v>
      </x:c>
      <x:c r="F227" s="8" t="n">
        <x:v>1600</x:v>
      </x:c>
      <x:c r="G227" s="8" t="n">
        <x:v>768</x:v>
      </x:c>
      <x:c r="H227" s="8" t="n">
        <x:v>650</x:v>
      </x:c>
      <x:c r="I227" s="2" t="str">
        <x:v>оплачен</x:v>
      </x:c>
      <x:c r="J227" s="8" t="n">
        <x:f>IF(I227="оплачен",E227*F227-G227,0)</x:f>
        <x:v>5632</x:v>
      </x:c>
      <x:c r="K227" s="8"/>
      <x:c r="L227" s="8" t="n">
        <x:f>J227-K227</x:f>
        <x:v>5632</x:v>
      </x:c>
      <x:c r="M227" s="2" t="str">
        <x:f>TEXT(B227,"yyyy-mm")</x:f>
        <x:v>2026-09</x:v>
      </x:c>
      <x:c r="N227" s="2"/>
      <x:c r="O227" s="2"/>
      <x:c r="P227" s="2"/>
    </x:row>
    <x:row r="228" ht="26" customHeight="1">
      <x:c r="A228" s="2" t="str">
        <x:v>O227</x:v>
      </x:c>
      <x:c r="B228" s="7" t="d">
        <x:v>2026-09-03T00:00:00.000Z</x:v>
      </x:c>
      <x:c r="C228" s="2" t="str">
        <x:v>Термокружка</x:v>
      </x:c>
      <x:c r="D228" s="2" t="str">
        <x:v>Маркетплейс</x:v>
      </x:c>
      <x:c r="E228" s="29" t="n">
        <x:v>4</x:v>
      </x:c>
      <x:c r="F228" s="8" t="n">
        <x:v>1600</x:v>
      </x:c>
      <x:c r="G228" s="8" t="n">
        <x:v>768</x:v>
      </x:c>
      <x:c r="H228" s="8" t="n">
        <x:v>650</x:v>
      </x:c>
      <x:c r="I228" s="2" t="str">
        <x:v>оплачен</x:v>
      </x:c>
      <x:c r="J228" s="8" t="n">
        <x:f>IF(I228="оплачен",E228*F228-G228,0)</x:f>
        <x:v>5632</x:v>
      </x:c>
      <x:c r="K228" s="8"/>
      <x:c r="L228" s="8" t="n">
        <x:f>J228-K228</x:f>
        <x:v>5632</x:v>
      </x:c>
      <x:c r="M228" s="2" t="str">
        <x:f>TEXT(B228,"yyyy-mm")</x:f>
        <x:v>2026-09</x:v>
      </x:c>
      <x:c r="N228" s="2"/>
      <x:c r="O228" s="2"/>
      <x:c r="P228" s="2"/>
    </x:row>
    <x:row r="229" ht="26" customHeight="1">
      <x:c r="A229" s="2" t="str">
        <x:v>O228</x:v>
      </x:c>
      <x:c r="B229" s="7" t="d">
        <x:v>2026-09-04T00:00:00.000Z</x:v>
      </x:c>
      <x:c r="C229" s="2" t="str">
        <x:v>Термокружка</x:v>
      </x:c>
      <x:c r="D229" s="2" t="str">
        <x:v>Соцсети</x:v>
      </x:c>
      <x:c r="E229" s="29" t="n">
        <x:v>2</x:v>
      </x:c>
      <x:c r="F229" s="8" t="n">
        <x:v>1600</x:v>
      </x:c>
      <x:c r="G229" s="8" t="n">
        <x:v>96</x:v>
      </x:c>
      <x:c r="H229" s="8" t="n">
        <x:v>650</x:v>
      </x:c>
      <x:c r="I229" s="2" t="str">
        <x:v>оплачен</x:v>
      </x:c>
      <x:c r="J229" s="8" t="n">
        <x:f>IF(I229="оплачен",E229*F229-G229,0)</x:f>
        <x:v>3104</x:v>
      </x:c>
      <x:c r="K229" s="8"/>
      <x:c r="L229" s="8" t="n">
        <x:f>J229-K229</x:f>
        <x:v>3104</x:v>
      </x:c>
      <x:c r="M229" s="2" t="str">
        <x:f>TEXT(B229,"yyyy-mm")</x:f>
        <x:v>2026-09</x:v>
      </x:c>
      <x:c r="N229" s="2"/>
      <x:c r="O229" s="2"/>
      <x:c r="P229" s="2"/>
    </x:row>
    <x:row r="230" ht="26" customHeight="1">
      <x:c r="A230" s="2" t="str">
        <x:v>O229</x:v>
      </x:c>
      <x:c r="B230" s="7" t="d">
        <x:v>2026-09-05T00:00:00.000Z</x:v>
      </x:c>
      <x:c r="C230" s="2" t="str">
        <x:v>Планер</x:v>
      </x:c>
      <x:c r="D230" s="2" t="str">
        <x:v>Маркетплейс</x:v>
      </x:c>
      <x:c r="E230" s="29" t="n">
        <x:v>3</x:v>
      </x:c>
      <x:c r="F230" s="8" t="n">
        <x:v>800</x:v>
      </x:c>
      <x:c r="G230" s="8" t="n">
        <x:v>288</x:v>
      </x:c>
      <x:c r="H230" s="8" t="n">
        <x:v>280</x:v>
      </x:c>
      <x:c r="I230" s="2" t="str">
        <x:v>оплачен</x:v>
      </x:c>
      <x:c r="J230" s="8" t="n">
        <x:f>IF(I230="оплачен",E230*F230-G230,0)</x:f>
        <x:v>2112</x:v>
      </x:c>
      <x:c r="K230" s="8"/>
      <x:c r="L230" s="8" t="n">
        <x:f>J230-K230</x:f>
        <x:v>2112</x:v>
      </x:c>
      <x:c r="M230" s="2" t="str">
        <x:f>TEXT(B230,"yyyy-mm")</x:f>
        <x:v>2026-09</x:v>
      </x:c>
      <x:c r="N230" s="2"/>
      <x:c r="O230" s="2"/>
      <x:c r="P230" s="2"/>
    </x:row>
    <x:row r="231" ht="26" customHeight="1">
      <x:c r="A231" s="2" t="str">
        <x:v>O230</x:v>
      </x:c>
      <x:c r="B231" s="7" t="d">
        <x:v>2026-09-06T00:00:00.000Z</x:v>
      </x:c>
      <x:c r="C231" s="2" t="str">
        <x:v>Термокружка</x:v>
      </x:c>
      <x:c r="D231" s="2" t="str">
        <x:v>Маркетплейс</x:v>
      </x:c>
      <x:c r="E231" s="29" t="n">
        <x:v>3</x:v>
      </x:c>
      <x:c r="F231" s="8" t="n">
        <x:v>1600</x:v>
      </x:c>
      <x:c r="G231" s="8" t="n">
        <x:v>576</x:v>
      </x:c>
      <x:c r="H231" s="8" t="n">
        <x:v>650</x:v>
      </x:c>
      <x:c r="I231" s="2" t="str">
        <x:v>оплачен</x:v>
      </x:c>
      <x:c r="J231" s="8" t="n">
        <x:f>IF(I231="оплачен",E231*F231-G231,0)</x:f>
        <x:v>4224</x:v>
      </x:c>
      <x:c r="K231" s="8"/>
      <x:c r="L231" s="8" t="n">
        <x:f>J231-K231</x:f>
        <x:v>4224</x:v>
      </x:c>
      <x:c r="M231" s="2" t="str">
        <x:f>TEXT(B231,"yyyy-mm")</x:f>
        <x:v>2026-09</x:v>
      </x:c>
      <x:c r="N231" s="2"/>
      <x:c r="O231" s="2"/>
      <x:c r="P231" s="2"/>
    </x:row>
    <x:row r="232" ht="26" customHeight="1">
      <x:c r="A232" s="2" t="str">
        <x:v>O231</x:v>
      </x:c>
      <x:c r="B232" s="7" t="d">
        <x:v>2026-09-07T00:00:00.000Z</x:v>
      </x:c>
      <x:c r="C232" s="2" t="str">
        <x:v>Термокружка</x:v>
      </x:c>
      <x:c r="D232" s="2" t="str">
        <x:v>Соцсети</x:v>
      </x:c>
      <x:c r="E232" s="29" t="n">
        <x:v>1</x:v>
      </x:c>
      <x:c r="F232" s="8" t="n">
        <x:v>1600</x:v>
      </x:c>
      <x:c r="G232" s="8" t="n">
        <x:v>48</x:v>
      </x:c>
      <x:c r="H232" s="8" t="n">
        <x:v>650</x:v>
      </x:c>
      <x:c r="I232" s="2" t="str">
        <x:v>оплачен</x:v>
      </x:c>
      <x:c r="J232" s="8" t="n">
        <x:f>IF(I232="оплачен",E232*F232-G232,0)</x:f>
        <x:v>1552</x:v>
      </x:c>
      <x:c r="K232" s="8"/>
      <x:c r="L232" s="8" t="n">
        <x:f>J232-K232</x:f>
        <x:v>1552</x:v>
      </x:c>
      <x:c r="M232" s="2" t="str">
        <x:f>TEXT(B232,"yyyy-mm")</x:f>
        <x:v>2026-09</x:v>
      </x:c>
      <x:c r="N232" s="2"/>
      <x:c r="O232" s="2"/>
      <x:c r="P232" s="2"/>
    </x:row>
    <x:row r="233" ht="26" customHeight="1">
      <x:c r="A233" s="2" t="str">
        <x:v>O232</x:v>
      </x:c>
      <x:c r="B233" s="7" t="d">
        <x:v>2026-09-08T00:00:00.000Z</x:v>
      </x:c>
      <x:c r="C233" s="2" t="str">
        <x:v>Рюкзак</x:v>
      </x:c>
      <x:c r="D233" s="2" t="str">
        <x:v>Маркетплейс</x:v>
      </x:c>
      <x:c r="E233" s="29" t="n">
        <x:v>1</x:v>
      </x:c>
      <x:c r="F233" s="8" t="n">
        <x:v>3600</x:v>
      </x:c>
      <x:c r="G233" s="8" t="n">
        <x:v>432</x:v>
      </x:c>
      <x:c r="H233" s="8" t="n">
        <x:v>1900</x:v>
      </x:c>
      <x:c r="I233" s="2" t="str">
        <x:v>оплачен</x:v>
      </x:c>
      <x:c r="J233" s="8" t="n">
        <x:f>IF(I233="оплачен",E233*F233-G233,0)</x:f>
        <x:v>3168</x:v>
      </x:c>
      <x:c r="K233" s="8"/>
      <x:c r="L233" s="8" t="n">
        <x:f>J233-K233</x:f>
        <x:v>3168</x:v>
      </x:c>
      <x:c r="M233" s="2" t="str">
        <x:f>TEXT(B233,"yyyy-mm")</x:f>
        <x:v>2026-09</x:v>
      </x:c>
      <x:c r="N233" s="2"/>
      <x:c r="O233" s="2"/>
      <x:c r="P233" s="2"/>
    </x:row>
    <x:row r="234" ht="26" customHeight="1">
      <x:c r="A234" s="2" t="str">
        <x:v>O233</x:v>
      </x:c>
      <x:c r="B234" s="7" t="d">
        <x:v>2026-09-09T00:00:00.000Z</x:v>
      </x:c>
      <x:c r="C234" s="2" t="str">
        <x:v>Планер</x:v>
      </x:c>
      <x:c r="D234" s="2" t="str">
        <x:v>Сайт</x:v>
      </x:c>
      <x:c r="E234" s="29" t="n">
        <x:v>4</x:v>
      </x:c>
      <x:c r="F234" s="8" t="n">
        <x:v>800</x:v>
      </x:c>
      <x:c r="G234" s="8" t="n">
        <x:v>96</x:v>
      </x:c>
      <x:c r="H234" s="8" t="n">
        <x:v>280</x:v>
      </x:c>
      <x:c r="I234" s="2" t="str">
        <x:v>оплачен</x:v>
      </x:c>
      <x:c r="J234" s="8" t="n">
        <x:f>IF(I234="оплачен",E234*F234-G234,0)</x:f>
        <x:v>3104</x:v>
      </x:c>
      <x:c r="K234" s="8"/>
      <x:c r="L234" s="8" t="n">
        <x:f>J234-K234</x:f>
        <x:v>3104</x:v>
      </x:c>
      <x:c r="M234" s="2" t="str">
        <x:f>TEXT(B234,"yyyy-mm")</x:f>
        <x:v>2026-09</x:v>
      </x:c>
      <x:c r="N234" s="2"/>
      <x:c r="O234" s="2"/>
      <x:c r="P234" s="2"/>
    </x:row>
    <x:row r="235" ht="26" customHeight="1">
      <x:c r="A235" s="2" t="str">
        <x:v>O234</x:v>
      </x:c>
      <x:c r="B235" s="7" t="d">
        <x:v>2026-09-10T00:00:00.000Z</x:v>
      </x:c>
      <x:c r="C235" s="2" t="str">
        <x:v>Планер</x:v>
      </x:c>
      <x:c r="D235" s="2" t="str">
        <x:v>Маркетплейс</x:v>
      </x:c>
      <x:c r="E235" s="29" t="n">
        <x:v>3</x:v>
      </x:c>
      <x:c r="F235" s="8" t="n">
        <x:v>800</x:v>
      </x:c>
      <x:c r="G235" s="8" t="n">
        <x:v>288</x:v>
      </x:c>
      <x:c r="H235" s="8" t="n">
        <x:v>280</x:v>
      </x:c>
      <x:c r="I235" s="2" t="str">
        <x:v>оплачен</x:v>
      </x:c>
      <x:c r="J235" s="8" t="n">
        <x:f>IF(I235="оплачен",E235*F235-G235,0)</x:f>
        <x:v>2112</x:v>
      </x:c>
      <x:c r="K235" s="8"/>
      <x:c r="L235" s="8" t="n">
        <x:f>J235-K235</x:f>
        <x:v>2112</x:v>
      </x:c>
      <x:c r="M235" s="2" t="str">
        <x:f>TEXT(B235,"yyyy-mm")</x:f>
        <x:v>2026-09</x:v>
      </x:c>
      <x:c r="N235" s="2"/>
      <x:c r="O235" s="2"/>
      <x:c r="P235" s="2"/>
    </x:row>
    <x:row r="236" ht="26" customHeight="1">
      <x:c r="A236" s="2" t="str">
        <x:v>O235</x:v>
      </x:c>
      <x:c r="B236" s="7" t="d">
        <x:v>2026-09-11T00:00:00.000Z</x:v>
      </x:c>
      <x:c r="C236" s="2" t="str">
        <x:v>Настольная лампа</x:v>
      </x:c>
      <x:c r="D236" s="2" t="str">
        <x:v>Маркетплейс</x:v>
      </x:c>
      <x:c r="E236" s="29" t="n">
        <x:v>2</x:v>
      </x:c>
      <x:c r="F236" s="8" t="n">
        <x:v>2900</x:v>
      </x:c>
      <x:c r="G236" s="8" t="n">
        <x:v>696</x:v>
      </x:c>
      <x:c r="H236" s="8" t="n">
        <x:v>1700</x:v>
      </x:c>
      <x:c r="I236" s="2" t="str">
        <x:v>отменён</x:v>
      </x:c>
      <x:c r="J236" s="8" t="n">
        <x:f>IF(I236="оплачен",E236*F236-G236,0)</x:f>
        <x:v>0</x:v>
      </x:c>
      <x:c r="K236" s="8"/>
      <x:c r="L236" s="8" t="n">
        <x:f>J236-K236</x:f>
        <x:v>0</x:v>
      </x:c>
      <x:c r="M236" s="2" t="str">
        <x:f>TEXT(B236,"yyyy-mm")</x:f>
        <x:v>2026-09</x:v>
      </x:c>
      <x:c r="N236" s="2"/>
      <x:c r="O236" s="2"/>
      <x:c r="P236" s="2"/>
    </x:row>
    <x:row r="237" ht="26" customHeight="1">
      <x:c r="A237" s="2" t="str">
        <x:v>O236</x:v>
      </x:c>
      <x:c r="B237" s="7" t="d">
        <x:v>2026-09-12T00:00:00.000Z</x:v>
      </x:c>
      <x:c r="C237" s="2" t="str">
        <x:v>Рюкзак</x:v>
      </x:c>
      <x:c r="D237" s="2" t="str">
        <x:v>Маркетплейс</x:v>
      </x:c>
      <x:c r="E237" s="29" t="n">
        <x:v>1</x:v>
      </x:c>
      <x:c r="F237" s="8" t="n">
        <x:v>3600</x:v>
      </x:c>
      <x:c r="G237" s="8" t="n">
        <x:v>432</x:v>
      </x:c>
      <x:c r="H237" s="8" t="n">
        <x:v>1900</x:v>
      </x:c>
      <x:c r="I237" s="2" t="str">
        <x:v>оплачен</x:v>
      </x:c>
      <x:c r="J237" s="8" t="n">
        <x:f>IF(I237="оплачен",E237*F237-G237,0)</x:f>
        <x:v>3168</x:v>
      </x:c>
      <x:c r="K237" s="8"/>
      <x:c r="L237" s="8" t="n">
        <x:f>J237-K237</x:f>
        <x:v>3168</x:v>
      </x:c>
      <x:c r="M237" s="2" t="str">
        <x:f>TEXT(B237,"yyyy-mm")</x:f>
        <x:v>2026-09</x:v>
      </x:c>
      <x:c r="N237" s="2"/>
      <x:c r="O237" s="2"/>
      <x:c r="P237" s="2"/>
    </x:row>
    <x:row r="238" ht="26" customHeight="1">
      <x:c r="A238" s="2" t="str">
        <x:v>O237</x:v>
      </x:c>
      <x:c r="B238" s="7" t="d">
        <x:v>2026-09-13T00:00:00.000Z</x:v>
      </x:c>
      <x:c r="C238" s="2" t="str">
        <x:v>Настольная лампа</x:v>
      </x:c>
      <x:c r="D238" s="2" t="str">
        <x:v>Соцсети</x:v>
      </x:c>
      <x:c r="E238" s="29" t="n">
        <x:v>1</x:v>
      </x:c>
      <x:c r="F238" s="8" t="n">
        <x:v>2900</x:v>
      </x:c>
      <x:c r="G238" s="8" t="n">
        <x:v>87</x:v>
      </x:c>
      <x:c r="H238" s="8" t="n">
        <x:v>1700</x:v>
      </x:c>
      <x:c r="I238" s="2" t="str">
        <x:v>оплачен</x:v>
      </x:c>
      <x:c r="J238" s="8" t="n">
        <x:f>IF(I238="оплачен",E238*F238-G238,0)</x:f>
        <x:v>2813</x:v>
      </x:c>
      <x:c r="K238" s="8"/>
      <x:c r="L238" s="8" t="n">
        <x:f>J238-K238</x:f>
        <x:v>2813</x:v>
      </x:c>
      <x:c r="M238" s="2" t="str">
        <x:f>TEXT(B238,"yyyy-mm")</x:f>
        <x:v>2026-09</x:v>
      </x:c>
      <x:c r="N238" s="2"/>
      <x:c r="O238" s="2"/>
      <x:c r="P238" s="2"/>
    </x:row>
    <x:row r="239" ht="26" customHeight="1">
      <x:c r="A239" s="2" t="str">
        <x:v>O238</x:v>
      </x:c>
      <x:c r="B239" s="7" t="d">
        <x:v>2026-09-14T00:00:00.000Z</x:v>
      </x:c>
      <x:c r="C239" s="2" t="str">
        <x:v>Рюкзак</x:v>
      </x:c>
      <x:c r="D239" s="2" t="str">
        <x:v>Маркетплейс</x:v>
      </x:c>
      <x:c r="E239" s="29" t="n">
        <x:v>4</x:v>
      </x:c>
      <x:c r="F239" s="8" t="n">
        <x:v>3600</x:v>
      </x:c>
      <x:c r="G239" s="8" t="n">
        <x:v>1728</x:v>
      </x:c>
      <x:c r="H239" s="8" t="n">
        <x:v>1900</x:v>
      </x:c>
      <x:c r="I239" s="2" t="str">
        <x:v>оплачен</x:v>
      </x:c>
      <x:c r="J239" s="8" t="n">
        <x:f>IF(I239="оплачен",E239*F239-G239,0)</x:f>
        <x:v>12672</x:v>
      </x:c>
      <x:c r="K239" s="8"/>
      <x:c r="L239" s="8" t="n">
        <x:f>J239-K239</x:f>
        <x:v>12672</x:v>
      </x:c>
      <x:c r="M239" s="2" t="str">
        <x:f>TEXT(B239,"yyyy-mm")</x:f>
        <x:v>2026-09</x:v>
      </x:c>
      <x:c r="N239" s="2"/>
      <x:c r="O239" s="2"/>
      <x:c r="P239" s="2"/>
    </x:row>
    <x:row r="240" ht="26" customHeight="1">
      <x:c r="A240" s="2" t="str">
        <x:v>O239</x:v>
      </x:c>
      <x:c r="B240" s="7" t="d">
        <x:v>2026-09-15T00:00:00.000Z</x:v>
      </x:c>
      <x:c r="C240" s="2" t="str">
        <x:v>Планер</x:v>
      </x:c>
      <x:c r="D240" s="2" t="str">
        <x:v>Соцсети</x:v>
      </x:c>
      <x:c r="E240" s="29" t="n">
        <x:v>2</x:v>
      </x:c>
      <x:c r="F240" s="8" t="n">
        <x:v>800</x:v>
      </x:c>
      <x:c r="G240" s="8" t="n">
        <x:v>48</x:v>
      </x:c>
      <x:c r="H240" s="8" t="n">
        <x:v>280</x:v>
      </x:c>
      <x:c r="I240" s="2" t="str">
        <x:v>возвращён</x:v>
      </x:c>
      <x:c r="J240" s="8" t="n">
        <x:f>IF(I240="оплачен",E240*F240-G240,0)</x:f>
        <x:v>0</x:v>
      </x:c>
      <x:c r="K240" s="8"/>
      <x:c r="L240" s="8" t="n">
        <x:f>J240-K240</x:f>
        <x:v>0</x:v>
      </x:c>
      <x:c r="M240" s="2" t="str">
        <x:f>TEXT(B240,"yyyy-mm")</x:f>
        <x:v>2026-09</x:v>
      </x:c>
      <x:c r="N240" s="2"/>
      <x:c r="O240" s="2"/>
      <x:c r="P240" s="2"/>
    </x:row>
    <x:row r="241" ht="26" customHeight="1">
      <x:c r="A241" s="2" t="str">
        <x:v>O240</x:v>
      </x:c>
      <x:c r="B241" s="7" t="d">
        <x:v>2026-09-16T00:00:00.000Z</x:v>
      </x:c>
      <x:c r="C241" s="2" t="str">
        <x:v>Термокружка</x:v>
      </x:c>
      <x:c r="D241" s="2" t="str">
        <x:v>Маркетплейс</x:v>
      </x:c>
      <x:c r="E241" s="29" t="n">
        <x:v>1</x:v>
      </x:c>
      <x:c r="F241" s="8" t="n">
        <x:v>1600</x:v>
      </x:c>
      <x:c r="G241" s="8" t="n">
        <x:v>192</x:v>
      </x:c>
      <x:c r="H241" s="8" t="n">
        <x:v>650</x:v>
      </x:c>
      <x:c r="I241" s="2" t="str">
        <x:v>оплачен</x:v>
      </x:c>
      <x:c r="J241" s="8" t="n">
        <x:f>IF(I241="оплачен",E241*F241-G241,0)</x:f>
        <x:v>1408</x:v>
      </x:c>
      <x:c r="K241" s="8"/>
      <x:c r="L241" s="8" t="n">
        <x:f>J241-K241</x:f>
        <x:v>1408</x:v>
      </x:c>
      <x:c r="M241" s="2" t="str">
        <x:f>TEXT(B241,"yyyy-mm")</x:f>
        <x:v>2026-09</x:v>
      </x:c>
      <x:c r="N241" s="2"/>
      <x:c r="O241" s="2"/>
      <x:c r="P241" s="2"/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Pr>
    <x:tabColor rgb="FF19212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5" hidden="0" customWidth="1"/>
    <x:col min="4" max="4" width="22" hidden="0" customWidth="1"/>
    <x:col min="5" max="5" width="14" hidden="0" customWidth="1"/>
    <x:col min="6" max="6" width="22" hidden="0" customWidth="1"/>
    <x:col min="7" max="7" width="22" hidden="0" customWidth="1"/>
    <x:col min="8" max="8" width="25" hidden="0" customWidth="1"/>
    <x:col min="9" max="9" width="18" hidden="0" customWidth="1"/>
    <x:col min="10" max="10" width="19" hidden="0" customWidth="1"/>
    <x:col min="11" max="11" width="24" hidden="0" customWidth="1"/>
    <x:col min="12" max="12" width="22" hidden="0" customWidth="1"/>
    <x:col min="13" max="13" width="15" hidden="0" customWidth="1"/>
    <x:col min="14" max="14" width="4" hidden="0" customWidth="1"/>
    <x:col min="15" max="15" width="30" hidden="0" customWidth="1"/>
    <x:col min="16" max="16" width="24" hidden="0" customWidth="1"/>
  </x:cols>
  <x:sheetData>
    <x:row r="1" ht="34" customHeight="1">
      <x:c r="A1" s="6" t="str">
        <x:v>ID_заказа</x:v>
      </x:c>
      <x:c r="B1" s="6" t="str">
        <x:v>Дата</x:v>
      </x:c>
      <x:c r="C1" s="6" t="str">
        <x:v>Товар</x:v>
      </x:c>
      <x:c r="D1" s="6" t="str">
        <x:v>Канал</x:v>
      </x:c>
      <x:c r="E1" s="6" t="str">
        <x:v>Количество</x:v>
      </x:c>
      <x:c r="F1" s="6" t="str">
        <x:v>Цена_за_единицу</x:v>
      </x:c>
      <x:c r="G1" s="6" t="str">
        <x:v>Скидка_на_заказ</x:v>
      </x:c>
      <x:c r="H1" s="6" t="str">
        <x:v>Себестоимость_единицы</x:v>
      </x:c>
      <x:c r="I1" s="6" t="str">
        <x:v>Статус</x:v>
      </x:c>
      <x:c r="J1" s="6" t="str">
        <x:v>Выручка</x:v>
      </x:c>
      <x:c r="K1" s="6" t="str">
        <x:v>Себестоимость_заказа</x:v>
      </x:c>
      <x:c r="L1" s="6" t="str">
        <x:v>Валовая_прибыль</x:v>
      </x:c>
      <x:c r="M1" s="6" t="str">
        <x:v>Месяц</x:v>
      </x:c>
      <x:c r="N1" s="6"/>
      <x:c r="O1" s="6" t="str">
        <x:v>Показатель</x:v>
      </x:c>
      <x:c r="P1" s="6" t="str">
        <x:v>Итог</x:v>
      </x:c>
    </x:row>
    <x:row r="2" ht="26" customHeight="1">
      <x:c r="A2" s="2" t="str">
        <x:v>O001</x:v>
      </x:c>
      <x:c r="B2" s="7" t="d">
        <x:v>2026-07-01T00:00:00.000Z</x:v>
      </x:c>
      <x:c r="C2" s="2" t="str">
        <x:v>Планер</x:v>
      </x:c>
      <x:c r="D2" s="2" t="str">
        <x:v>Сайт</x:v>
      </x:c>
      <x:c r="E2" s="29" t="n">
        <x:v>2</x:v>
      </x:c>
      <x:c r="F2" s="8" t="n">
        <x:v>1000</x:v>
      </x:c>
      <x:c r="G2" s="8" t="n">
        <x:v>0</x:v>
      </x:c>
      <x:c r="H2" s="8" t="n">
        <x:v>400</x:v>
      </x:c>
      <x:c r="I2" s="2" t="str">
        <x:v>оплачен</x:v>
      </x:c>
      <x:c r="J2" s="8" t="n">
        <x:f>IF(I2="оплачен",E2*F2-G2,0)</x:f>
        <x:v>2000</x:v>
      </x:c>
      <x:c r="K2" s="8" t="n">
        <x:f>IF(I2="оплачен",E2*H2,0)</x:f>
        <x:v>800</x:v>
      </x:c>
      <x:c r="L2" s="8" t="n">
        <x:f>J2-K2</x:f>
        <x:v>1200</x:v>
      </x:c>
      <x:c r="M2" s="2" t="str">
        <x:f>TEXT(B2,"yyyy-mm")</x:f>
        <x:v>2026-07</x:v>
      </x:c>
      <x:c r="N2" s="2"/>
      <x:c r="O2" s="2" t="str">
        <x:v>Выручка</x:v>
      </x:c>
      <x:c r="P2" s="2" t="n">
        <x:f>SUM(J2:J241)</x:f>
        <x:v>942811</x:v>
      </x:c>
    </x:row>
    <x:row r="3" ht="26" customHeight="1">
      <x:c r="A3" s="2" t="str">
        <x:v>O002</x:v>
      </x:c>
      <x:c r="B3" s="7" t="d">
        <x:v>2026-07-02T00:00:00.000Z</x:v>
      </x:c>
      <x:c r="C3" s="2" t="str">
        <x:v>Планер</x:v>
      </x:c>
      <x:c r="D3" s="2" t="str">
        <x:v>Сайт</x:v>
      </x:c>
      <x:c r="E3" s="29" t="n">
        <x:v>3</x:v>
      </x:c>
      <x:c r="F3" s="8" t="n">
        <x:v>800</x:v>
      </x:c>
      <x:c r="G3" s="8" t="n">
        <x:v>72</x:v>
      </x:c>
      <x:c r="H3" s="8" t="n">
        <x:v>280</x:v>
      </x:c>
      <x:c r="I3" s="2" t="str">
        <x:v>оплачен</x:v>
      </x:c>
      <x:c r="J3" s="8" t="n">
        <x:f>IF(I3="оплачен",E3*F3-G3,0)</x:f>
        <x:v>2328</x:v>
      </x:c>
      <x:c r="K3" s="8" t="n">
        <x:f>IF(I3="оплачен",E3*H3,0)</x:f>
        <x:v>840</x:v>
      </x:c>
      <x:c r="L3" s="8" t="n">
        <x:f>J3-K3</x:f>
        <x:v>1488</x:v>
      </x:c>
      <x:c r="M3" s="2" t="str">
        <x:f>TEXT(B3,"yyyy-mm")</x:f>
        <x:v>2026-07</x:v>
      </x:c>
      <x:c r="N3" s="2"/>
      <x:c r="O3" s="2" t="str">
        <x:v>Валовая прибыль</x:v>
      </x:c>
      <x:c r="P3" s="2" t="n">
        <x:f>SUM(L2:L241)</x:f>
        <x:v>431461</x:v>
      </x:c>
    </x:row>
    <x:row r="4" ht="26" customHeight="1">
      <x:c r="A4" s="2" t="str">
        <x:v>O003</x:v>
      </x:c>
      <x:c r="B4" s="7" t="d">
        <x:v>2026-07-03T00:00:00.000Z</x:v>
      </x:c>
      <x:c r="C4" s="2" t="str">
        <x:v>Рюкзак</x:v>
      </x:c>
      <x:c r="D4" s="2" t="str">
        <x:v>Соцсети</x:v>
      </x:c>
      <x:c r="E4" s="29" t="n">
        <x:v>1</x:v>
      </x:c>
      <x:c r="F4" s="8" t="n">
        <x:v>3600</x:v>
      </x:c>
      <x:c r="G4" s="8" t="n">
        <x:v>108</x:v>
      </x:c>
      <x:c r="H4" s="8" t="n">
        <x:v>1900</x:v>
      </x:c>
      <x:c r="I4" s="2" t="str">
        <x:v>оплачен</x:v>
      </x:c>
      <x:c r="J4" s="8" t="n">
        <x:f>IF(I4="оплачен",E4*F4-G4,0)</x:f>
        <x:v>3492</x:v>
      </x:c>
      <x:c r="K4" s="8" t="n">
        <x:f>IF(I4="оплачен",E4*H4,0)</x:f>
        <x:v>1900</x:v>
      </x:c>
      <x:c r="L4" s="8" t="n">
        <x:f>J4-K4</x:f>
        <x:v>1592</x:v>
      </x:c>
      <x:c r="M4" s="2" t="str">
        <x:f>TEXT(B4,"yyyy-mm")</x:f>
        <x:v>2026-07</x:v>
      </x:c>
      <x:c r="N4" s="2"/>
      <x:c r="O4" s="2"/>
      <x:c r="P4" s="2"/>
    </x:row>
    <x:row r="5" ht="26" customHeight="1">
      <x:c r="A5" s="2" t="str">
        <x:v>O004</x:v>
      </x:c>
      <x:c r="B5" s="7" t="d">
        <x:v>2026-07-04T00:00:00.000Z</x:v>
      </x:c>
      <x:c r="C5" s="2" t="str">
        <x:v>Рюкзак</x:v>
      </x:c>
      <x:c r="D5" s="2" t="str">
        <x:v>Маркетплейс</x:v>
      </x:c>
      <x:c r="E5" s="29" t="n">
        <x:v>3</x:v>
      </x:c>
      <x:c r="F5" s="8" t="n">
        <x:v>3600</x:v>
      </x:c>
      <x:c r="G5" s="8" t="n">
        <x:v>1296</x:v>
      </x:c>
      <x:c r="H5" s="8" t="n">
        <x:v>1900</x:v>
      </x:c>
      <x:c r="I5" s="2" t="str">
        <x:v>оплачен</x:v>
      </x:c>
      <x:c r="J5" s="8" t="n">
        <x:f>IF(I5="оплачен",E5*F5-G5,0)</x:f>
        <x:v>9504</x:v>
      </x:c>
      <x:c r="K5" s="8" t="n">
        <x:f>IF(I5="оплачен",E5*H5,0)</x:f>
        <x:v>5700</x:v>
      </x:c>
      <x:c r="L5" s="8" t="n">
        <x:f>J5-K5</x:f>
        <x:v>3804</x:v>
      </x:c>
      <x:c r="M5" s="2" t="str">
        <x:f>TEXT(B5,"yyyy-mm")</x:f>
        <x:v>2026-07</x:v>
      </x:c>
      <x:c r="N5" s="2"/>
      <x:c r="O5" s="2"/>
      <x:c r="P5" s="2"/>
    </x:row>
    <x:row r="6" ht="26" customHeight="1">
      <x:c r="A6" s="2" t="str">
        <x:v>O005</x:v>
      </x:c>
      <x:c r="B6" s="7" t="d">
        <x:v>2026-07-05T00:00:00.000Z</x:v>
      </x:c>
      <x:c r="C6" s="2" t="str">
        <x:v>Настольная лампа</x:v>
      </x:c>
      <x:c r="D6" s="2" t="str">
        <x:v>Соцсети</x:v>
      </x:c>
      <x:c r="E6" s="29" t="n">
        <x:v>1</x:v>
      </x:c>
      <x:c r="F6" s="8" t="n">
        <x:v>2900</x:v>
      </x:c>
      <x:c r="G6" s="8" t="n">
        <x:v>87</x:v>
      </x:c>
      <x:c r="H6" s="8" t="n">
        <x:v>1700</x:v>
      </x:c>
      <x:c r="I6" s="2" t="str">
        <x:v>оплачен</x:v>
      </x:c>
      <x:c r="J6" s="8" t="n">
        <x:f>IF(I6="оплачен",E6*F6-G6,0)</x:f>
        <x:v>2813</x:v>
      </x:c>
      <x:c r="K6" s="8" t="n">
        <x:f>IF(I6="оплачен",E6*H6,0)</x:f>
        <x:v>1700</x:v>
      </x:c>
      <x:c r="L6" s="8" t="n">
        <x:f>J6-K6</x:f>
        <x:v>1113</x:v>
      </x:c>
      <x:c r="M6" s="2" t="str">
        <x:f>TEXT(B6,"yyyy-mm")</x:f>
        <x:v>2026-07</x:v>
      </x:c>
      <x:c r="N6" s="2"/>
      <x:c r="O6" s="2"/>
      <x:c r="P6" s="2"/>
    </x:row>
    <x:row r="7" ht="26" customHeight="1">
      <x:c r="A7" s="2" t="str">
        <x:v>O006</x:v>
      </x:c>
      <x:c r="B7" s="7" t="d">
        <x:v>2026-07-06T00:00:00.000Z</x:v>
      </x:c>
      <x:c r="C7" s="2" t="str">
        <x:v>Рюкзак</x:v>
      </x:c>
      <x:c r="D7" s="2" t="str">
        <x:v>Маркетплейс</x:v>
      </x:c>
      <x:c r="E7" s="29" t="n">
        <x:v>4</x:v>
      </x:c>
      <x:c r="F7" s="8" t="n">
        <x:v>3600</x:v>
      </x:c>
      <x:c r="G7" s="8" t="n">
        <x:v>1728</x:v>
      </x:c>
      <x:c r="H7" s="8" t="n">
        <x:v>1900</x:v>
      </x:c>
      <x:c r="I7" s="2" t="str">
        <x:v>оплачен</x:v>
      </x:c>
      <x:c r="J7" s="8" t="n">
        <x:f>IF(I7="оплачен",E7*F7-G7,0)</x:f>
        <x:v>12672</x:v>
      </x:c>
      <x:c r="K7" s="8" t="n">
        <x:f>IF(I7="оплачен",E7*H7,0)</x:f>
        <x:v>7600</x:v>
      </x:c>
      <x:c r="L7" s="8" t="n">
        <x:f>J7-K7</x:f>
        <x:v>5072</x:v>
      </x:c>
      <x:c r="M7" s="2" t="str">
        <x:f>TEXT(B7,"yyyy-mm")</x:f>
        <x:v>2026-07</x:v>
      </x:c>
      <x:c r="N7" s="2"/>
      <x:c r="O7" s="2"/>
      <x:c r="P7" s="2"/>
    </x:row>
    <x:row r="8" ht="26" customHeight="1">
      <x:c r="A8" s="2" t="str">
        <x:v>O007</x:v>
      </x:c>
      <x:c r="B8" s="7" t="d">
        <x:v>2026-07-07T00:00:00.000Z</x:v>
      </x:c>
      <x:c r="C8" s="2" t="str">
        <x:v>Термокружка</x:v>
      </x:c>
      <x:c r="D8" s="2" t="str">
        <x:v>Маркетплейс</x:v>
      </x:c>
      <x:c r="E8" s="29" t="n">
        <x:v>1</x:v>
      </x:c>
      <x:c r="F8" s="8" t="n">
        <x:v>1600</x:v>
      </x:c>
      <x:c r="G8" s="8" t="n">
        <x:v>192</x:v>
      </x:c>
      <x:c r="H8" s="8" t="n">
        <x:v>650</x:v>
      </x:c>
      <x:c r="I8" s="2" t="str">
        <x:v>оплачен</x:v>
      </x:c>
      <x:c r="J8" s="8" t="n">
        <x:f>IF(I8="оплачен",E8*F8-G8,0)</x:f>
        <x:v>1408</x:v>
      </x:c>
      <x:c r="K8" s="8" t="n">
        <x:f>IF(I8="оплачен",E8*H8,0)</x:f>
        <x:v>650</x:v>
      </x:c>
      <x:c r="L8" s="8" t="n">
        <x:f>J8-K8</x:f>
        <x:v>758</x:v>
      </x:c>
      <x:c r="M8" s="2" t="str">
        <x:f>TEXT(B8,"yyyy-mm")</x:f>
        <x:v>2026-07</x:v>
      </x:c>
      <x:c r="N8" s="2"/>
      <x:c r="O8" s="2"/>
      <x:c r="P8" s="2"/>
    </x:row>
    <x:row r="9" ht="26" customHeight="1">
      <x:c r="A9" s="2" t="str">
        <x:v>O008</x:v>
      </x:c>
      <x:c r="B9" s="7" t="d">
        <x:v>2026-07-08T00:00:00.000Z</x:v>
      </x:c>
      <x:c r="C9" s="2" t="str">
        <x:v>Термокружка</x:v>
      </x:c>
      <x:c r="D9" s="2" t="str">
        <x:v>Маркетплейс</x:v>
      </x:c>
      <x:c r="E9" s="29" t="n">
        <x:v>4</x:v>
      </x:c>
      <x:c r="F9" s="8" t="n">
        <x:v>1600</x:v>
      </x:c>
      <x:c r="G9" s="8" t="n">
        <x:v>768</x:v>
      </x:c>
      <x:c r="H9" s="8" t="n">
        <x:v>650</x:v>
      </x:c>
      <x:c r="I9" s="2" t="str">
        <x:v>оплачен</x:v>
      </x:c>
      <x:c r="J9" s="8" t="n">
        <x:f>IF(I9="оплачен",E9*F9-G9,0)</x:f>
        <x:v>5632</x:v>
      </x:c>
      <x:c r="K9" s="8" t="n">
        <x:f>IF(I9="оплачен",E9*H9,0)</x:f>
        <x:v>2600</x:v>
      </x:c>
      <x:c r="L9" s="8" t="n">
        <x:f>J9-K9</x:f>
        <x:v>3032</x:v>
      </x:c>
      <x:c r="M9" s="2" t="str">
        <x:f>TEXT(B9,"yyyy-mm")</x:f>
        <x:v>2026-07</x:v>
      </x:c>
      <x:c r="N9" s="2"/>
      <x:c r="O9" s="2"/>
      <x:c r="P9" s="2"/>
    </x:row>
    <x:row r="10" ht="26" customHeight="1">
      <x:c r="A10" s="2" t="str">
        <x:v>O009</x:v>
      </x:c>
      <x:c r="B10" s="7" t="d">
        <x:v>2026-07-09T00:00:00.000Z</x:v>
      </x:c>
      <x:c r="C10" s="2" t="str">
        <x:v>Планер</x:v>
      </x:c>
      <x:c r="D10" s="2" t="str">
        <x:v>Маркетплейс</x:v>
      </x:c>
      <x:c r="E10" s="29" t="n">
        <x:v>4</x:v>
      </x:c>
      <x:c r="F10" s="8" t="n">
        <x:v>800</x:v>
      </x:c>
      <x:c r="G10" s="8" t="n">
        <x:v>384</x:v>
      </x:c>
      <x:c r="H10" s="8" t="n">
        <x:v>280</x:v>
      </x:c>
      <x:c r="I10" s="2" t="str">
        <x:v>оплачен</x:v>
      </x:c>
      <x:c r="J10" s="8" t="n">
        <x:f>IF(I10="оплачен",E10*F10-G10,0)</x:f>
        <x:v>2816</x:v>
      </x:c>
      <x:c r="K10" s="8" t="n">
        <x:f>IF(I10="оплачен",E10*H10,0)</x:f>
        <x:v>1120</x:v>
      </x:c>
      <x:c r="L10" s="8" t="n">
        <x:f>J10-K10</x:f>
        <x:v>1696</x:v>
      </x:c>
      <x:c r="M10" s="2" t="str">
        <x:f>TEXT(B10,"yyyy-mm")</x:f>
        <x:v>2026-07</x:v>
      </x:c>
      <x:c r="N10" s="2"/>
      <x:c r="O10" s="2"/>
      <x:c r="P10" s="2"/>
    </x:row>
    <x:row r="11" ht="26" customHeight="1">
      <x:c r="A11" s="2" t="str">
        <x:v>O010</x:v>
      </x:c>
      <x:c r="B11" s="7" t="d">
        <x:v>2026-07-10T00:00:00.000Z</x:v>
      </x:c>
      <x:c r="C11" s="2" t="str">
        <x:v>Термокружка</x:v>
      </x:c>
      <x:c r="D11" s="2" t="str">
        <x:v>Сайт</x:v>
      </x:c>
      <x:c r="E11" s="29" t="n">
        <x:v>4</x:v>
      </x:c>
      <x:c r="F11" s="8" t="n">
        <x:v>1600</x:v>
      </x:c>
      <x:c r="G11" s="8" t="n">
        <x:v>192</x:v>
      </x:c>
      <x:c r="H11" s="8" t="n">
        <x:v>650</x:v>
      </x:c>
      <x:c r="I11" s="2" t="str">
        <x:v>оплачен</x:v>
      </x:c>
      <x:c r="J11" s="8" t="n">
        <x:f>IF(I11="оплачен",E11*F11-G11,0)</x:f>
        <x:v>6208</x:v>
      </x:c>
      <x:c r="K11" s="8" t="n">
        <x:f>IF(I11="оплачен",E11*H11,0)</x:f>
        <x:v>2600</x:v>
      </x:c>
      <x:c r="L11" s="8" t="n">
        <x:f>J11-K11</x:f>
        <x:v>3608</x:v>
      </x:c>
      <x:c r="M11" s="2" t="str">
        <x:f>TEXT(B11,"yyyy-mm")</x:f>
        <x:v>2026-07</x:v>
      </x:c>
      <x:c r="N11" s="2"/>
      <x:c r="O11" s="2"/>
      <x:c r="P11" s="2"/>
    </x:row>
    <x:row r="12" ht="26" customHeight="1">
      <x:c r="A12" s="2" t="str">
        <x:v>O011</x:v>
      </x:c>
      <x:c r="B12" s="7" t="d">
        <x:v>2026-07-11T00:00:00.000Z</x:v>
      </x:c>
      <x:c r="C12" s="2" t="str">
        <x:v>Настольная лампа</x:v>
      </x:c>
      <x:c r="D12" s="2" t="str">
        <x:v>Соцсети</x:v>
      </x:c>
      <x:c r="E12" s="29" t="n">
        <x:v>1</x:v>
      </x:c>
      <x:c r="F12" s="8" t="n">
        <x:v>2900</x:v>
      </x:c>
      <x:c r="G12" s="8" t="n">
        <x:v>87</x:v>
      </x:c>
      <x:c r="H12" s="8" t="n">
        <x:v>1700</x:v>
      </x:c>
      <x:c r="I12" s="2" t="str">
        <x:v>оплачен</x:v>
      </x:c>
      <x:c r="J12" s="8" t="n">
        <x:f>IF(I12="оплачен",E12*F12-G12,0)</x:f>
        <x:v>2813</x:v>
      </x:c>
      <x:c r="K12" s="8" t="n">
        <x:f>IF(I12="оплачен",E12*H12,0)</x:f>
        <x:v>1700</x:v>
      </x:c>
      <x:c r="L12" s="8" t="n">
        <x:f>J12-K12</x:f>
        <x:v>1113</x:v>
      </x:c>
      <x:c r="M12" s="2" t="str">
        <x:f>TEXT(B12,"yyyy-mm")</x:f>
        <x:v>2026-07</x:v>
      </x:c>
      <x:c r="N12" s="2"/>
      <x:c r="O12" s="2"/>
      <x:c r="P12" s="2"/>
    </x:row>
    <x:row r="13" ht="26" customHeight="1">
      <x:c r="A13" s="2" t="str">
        <x:v>O012</x:v>
      </x:c>
      <x:c r="B13" s="7" t="d">
        <x:v>2026-07-12T00:00:00.000Z</x:v>
      </x:c>
      <x:c r="C13" s="2" t="str">
        <x:v>Планер</x:v>
      </x:c>
      <x:c r="D13" s="2" t="str">
        <x:v>Соцсети</x:v>
      </x:c>
      <x:c r="E13" s="29" t="n">
        <x:v>2</x:v>
      </x:c>
      <x:c r="F13" s="8" t="n">
        <x:v>800</x:v>
      </x:c>
      <x:c r="G13" s="8" t="n">
        <x:v>48</x:v>
      </x:c>
      <x:c r="H13" s="8" t="n">
        <x:v>280</x:v>
      </x:c>
      <x:c r="I13" s="2" t="str">
        <x:v>оплачен</x:v>
      </x:c>
      <x:c r="J13" s="8" t="n">
        <x:f>IF(I13="оплачен",E13*F13-G13,0)</x:f>
        <x:v>1552</x:v>
      </x:c>
      <x:c r="K13" s="8" t="n">
        <x:f>IF(I13="оплачен",E13*H13,0)</x:f>
        <x:v>560</x:v>
      </x:c>
      <x:c r="L13" s="8" t="n">
        <x:f>J13-K13</x:f>
        <x:v>992</x:v>
      </x:c>
      <x:c r="M13" s="2" t="str">
        <x:f>TEXT(B13,"yyyy-mm")</x:f>
        <x:v>2026-07</x:v>
      </x:c>
      <x:c r="N13" s="2"/>
      <x:c r="O13" s="2"/>
      <x:c r="P13" s="2"/>
    </x:row>
    <x:row r="14" ht="26" customHeight="1">
      <x:c r="A14" s="2" t="str">
        <x:v>O013</x:v>
      </x:c>
      <x:c r="B14" s="7" t="d">
        <x:v>2026-07-13T00:00:00.000Z</x:v>
      </x:c>
      <x:c r="C14" s="2" t="str">
        <x:v>Планер</x:v>
      </x:c>
      <x:c r="D14" s="2" t="str">
        <x:v>Маркетплейс</x:v>
      </x:c>
      <x:c r="E14" s="29" t="n">
        <x:v>1</x:v>
      </x:c>
      <x:c r="F14" s="8" t="n">
        <x:v>800</x:v>
      </x:c>
      <x:c r="G14" s="8" t="n">
        <x:v>96</x:v>
      </x:c>
      <x:c r="H14" s="8" t="n">
        <x:v>280</x:v>
      </x:c>
      <x:c r="I14" s="2" t="str">
        <x:v>оплачен</x:v>
      </x:c>
      <x:c r="J14" s="8" t="n">
        <x:f>IF(I14="оплачен",E14*F14-G14,0)</x:f>
        <x:v>704</x:v>
      </x:c>
      <x:c r="K14" s="8" t="n">
        <x:f>IF(I14="оплачен",E14*H14,0)</x:f>
        <x:v>280</x:v>
      </x:c>
      <x:c r="L14" s="8" t="n">
        <x:f>J14-K14</x:f>
        <x:v>424</x:v>
      </x:c>
      <x:c r="M14" s="2" t="str">
        <x:f>TEXT(B14,"yyyy-mm")</x:f>
        <x:v>2026-07</x:v>
      </x:c>
      <x:c r="N14" s="2"/>
      <x:c r="O14" s="2"/>
      <x:c r="P14" s="2"/>
    </x:row>
    <x:row r="15" ht="26" customHeight="1">
      <x:c r="A15" s="2" t="str">
        <x:v>O014</x:v>
      </x:c>
      <x:c r="B15" s="7" t="d">
        <x:v>2026-07-14T00:00:00.000Z</x:v>
      </x:c>
      <x:c r="C15" s="2" t="str">
        <x:v>Термокружка</x:v>
      </x:c>
      <x:c r="D15" s="2" t="str">
        <x:v>Маркетплейс</x:v>
      </x:c>
      <x:c r="E15" s="29" t="n">
        <x:v>1</x:v>
      </x:c>
      <x:c r="F15" s="8" t="n">
        <x:v>1600</x:v>
      </x:c>
      <x:c r="G15" s="8" t="n">
        <x:v>192</x:v>
      </x:c>
      <x:c r="H15" s="8" t="n">
        <x:v>650</x:v>
      </x:c>
      <x:c r="I15" s="2" t="str">
        <x:v>отменён</x:v>
      </x:c>
      <x:c r="J15" s="8" t="n">
        <x:f>IF(I15="оплачен",E15*F15-G15,0)</x:f>
        <x:v>0</x:v>
      </x:c>
      <x:c r="K15" s="8" t="n">
        <x:f>IF(I15="оплачен",E15*H15,0)</x:f>
        <x:v>0</x:v>
      </x:c>
      <x:c r="L15" s="8" t="n">
        <x:f>J15-K15</x:f>
        <x:v>0</x:v>
      </x:c>
      <x:c r="M15" s="2" t="str">
        <x:f>TEXT(B15,"yyyy-mm")</x:f>
        <x:v>2026-07</x:v>
      </x:c>
      <x:c r="N15" s="2"/>
      <x:c r="O15" s="2"/>
      <x:c r="P15" s="2"/>
    </x:row>
    <x:row r="16" ht="26" customHeight="1">
      <x:c r="A16" s="2" t="str">
        <x:v>O015</x:v>
      </x:c>
      <x:c r="B16" s="7" t="d">
        <x:v>2026-07-15T00:00:00.000Z</x:v>
      </x:c>
      <x:c r="C16" s="2" t="str">
        <x:v>Настольная лампа</x:v>
      </x:c>
      <x:c r="D16" s="2" t="str">
        <x:v>Соцсети</x:v>
      </x:c>
      <x:c r="E16" s="29" t="n">
        <x:v>4</x:v>
      </x:c>
      <x:c r="F16" s="8" t="n">
        <x:v>2900</x:v>
      </x:c>
      <x:c r="G16" s="8" t="n">
        <x:v>348</x:v>
      </x:c>
      <x:c r="H16" s="8" t="n">
        <x:v>1700</x:v>
      </x:c>
      <x:c r="I16" s="2" t="str">
        <x:v>оплачен</x:v>
      </x:c>
      <x:c r="J16" s="8" t="n">
        <x:f>IF(I16="оплачен",E16*F16-G16,0)</x:f>
        <x:v>11252</x:v>
      </x:c>
      <x:c r="K16" s="8" t="n">
        <x:f>IF(I16="оплачен",E16*H16,0)</x:f>
        <x:v>6800</x:v>
      </x:c>
      <x:c r="L16" s="8" t="n">
        <x:f>J16-K16</x:f>
        <x:v>4452</x:v>
      </x:c>
      <x:c r="M16" s="2" t="str">
        <x:f>TEXT(B16,"yyyy-mm")</x:f>
        <x:v>2026-07</x:v>
      </x:c>
      <x:c r="N16" s="2"/>
      <x:c r="O16" s="2"/>
      <x:c r="P16" s="2"/>
    </x:row>
    <x:row r="17" ht="26" customHeight="1">
      <x:c r="A17" s="2" t="str">
        <x:v>O016</x:v>
      </x:c>
      <x:c r="B17" s="7" t="d">
        <x:v>2026-07-16T00:00:00.000Z</x:v>
      </x:c>
      <x:c r="C17" s="2" t="str">
        <x:v>Планер</x:v>
      </x:c>
      <x:c r="D17" s="2" t="str">
        <x:v>Соцсети</x:v>
      </x:c>
      <x:c r="E17" s="29" t="n">
        <x:v>1</x:v>
      </x:c>
      <x:c r="F17" s="8" t="n">
        <x:v>800</x:v>
      </x:c>
      <x:c r="G17" s="8" t="n">
        <x:v>24</x:v>
      </x:c>
      <x:c r="H17" s="8" t="n">
        <x:v>280</x:v>
      </x:c>
      <x:c r="I17" s="2" t="str">
        <x:v>оплачен</x:v>
      </x:c>
      <x:c r="J17" s="8" t="n">
        <x:f>IF(I17="оплачен",E17*F17-G17,0)</x:f>
        <x:v>776</x:v>
      </x:c>
      <x:c r="K17" s="8" t="n">
        <x:f>IF(I17="оплачен",E17*H17,0)</x:f>
        <x:v>280</x:v>
      </x:c>
      <x:c r="L17" s="8" t="n">
        <x:f>J17-K17</x:f>
        <x:v>496</x:v>
      </x:c>
      <x:c r="M17" s="2" t="str">
        <x:f>TEXT(B17,"yyyy-mm")</x:f>
        <x:v>2026-07</x:v>
      </x:c>
      <x:c r="N17" s="2"/>
      <x:c r="O17" s="2"/>
      <x:c r="P17" s="2"/>
    </x:row>
    <x:row r="18" ht="26" customHeight="1">
      <x:c r="A18" s="2" t="str">
        <x:v>O017</x:v>
      </x:c>
      <x:c r="B18" s="7" t="d">
        <x:v>2026-07-17T00:00:00.000Z</x:v>
      </x:c>
      <x:c r="C18" s="2" t="str">
        <x:v>Термокружка</x:v>
      </x:c>
      <x:c r="D18" s="2" t="str">
        <x:v>Маркетплейс</x:v>
      </x:c>
      <x:c r="E18" s="29" t="n">
        <x:v>3</x:v>
      </x:c>
      <x:c r="F18" s="8" t="n">
        <x:v>1600</x:v>
      </x:c>
      <x:c r="G18" s="8" t="n">
        <x:v>576</x:v>
      </x:c>
      <x:c r="H18" s="8" t="n">
        <x:v>650</x:v>
      </x:c>
      <x:c r="I18" s="2" t="str">
        <x:v>оплачен</x:v>
      </x:c>
      <x:c r="J18" s="8" t="n">
        <x:f>IF(I18="оплачен",E18*F18-G18,0)</x:f>
        <x:v>4224</x:v>
      </x:c>
      <x:c r="K18" s="8" t="n">
        <x:f>IF(I18="оплачен",E18*H18,0)</x:f>
        <x:v>1950</x:v>
      </x:c>
      <x:c r="L18" s="8" t="n">
        <x:f>J18-K18</x:f>
        <x:v>2274</x:v>
      </x:c>
      <x:c r="M18" s="2" t="str">
        <x:f>TEXT(B18,"yyyy-mm")</x:f>
        <x:v>2026-07</x:v>
      </x:c>
      <x:c r="N18" s="2"/>
      <x:c r="O18" s="2"/>
      <x:c r="P18" s="2"/>
    </x:row>
    <x:row r="19" ht="26" customHeight="1">
      <x:c r="A19" s="2" t="str">
        <x:v>O018</x:v>
      </x:c>
      <x:c r="B19" s="7" t="d">
        <x:v>2026-07-18T00:00:00.000Z</x:v>
      </x:c>
      <x:c r="C19" s="2" t="str">
        <x:v>Настольная лампа</x:v>
      </x:c>
      <x:c r="D19" s="2" t="str">
        <x:v>Сайт</x:v>
      </x:c>
      <x:c r="E19" s="29" t="n">
        <x:v>3</x:v>
      </x:c>
      <x:c r="F19" s="8" t="n">
        <x:v>2900</x:v>
      </x:c>
      <x:c r="G19" s="8" t="n">
        <x:v>261</x:v>
      </x:c>
      <x:c r="H19" s="8" t="n">
        <x:v>1700</x:v>
      </x:c>
      <x:c r="I19" s="2" t="str">
        <x:v>возвращён</x:v>
      </x:c>
      <x:c r="J19" s="8" t="n">
        <x:f>IF(I19="оплачен",E19*F19-G19,0)</x:f>
        <x:v>0</x:v>
      </x:c>
      <x:c r="K19" s="8" t="n">
        <x:f>IF(I19="оплачен",E19*H19,0)</x:f>
        <x:v>0</x:v>
      </x:c>
      <x:c r="L19" s="8" t="n">
        <x:f>J19-K19</x:f>
        <x:v>0</x:v>
      </x:c>
      <x:c r="M19" s="2" t="str">
        <x:f>TEXT(B19,"yyyy-mm")</x:f>
        <x:v>2026-07</x:v>
      </x:c>
      <x:c r="N19" s="2"/>
      <x:c r="O19" s="2"/>
      <x:c r="P19" s="2"/>
    </x:row>
    <x:row r="20" ht="26" customHeight="1">
      <x:c r="A20" s="2" t="str">
        <x:v>O019</x:v>
      </x:c>
      <x:c r="B20" s="7" t="d">
        <x:v>2026-07-19T00:00:00.000Z</x:v>
      </x:c>
      <x:c r="C20" s="2" t="str">
        <x:v>Рюкзак</x:v>
      </x:c>
      <x:c r="D20" s="2" t="str">
        <x:v>Сайт</x:v>
      </x:c>
      <x:c r="E20" s="29" t="n">
        <x:v>3</x:v>
      </x:c>
      <x:c r="F20" s="8" t="n">
        <x:v>3600</x:v>
      </x:c>
      <x:c r="G20" s="8" t="n">
        <x:v>324</x:v>
      </x:c>
      <x:c r="H20" s="8" t="n">
        <x:v>1900</x:v>
      </x:c>
      <x:c r="I20" s="2" t="str">
        <x:v>оплачен</x:v>
      </x:c>
      <x:c r="J20" s="8" t="n">
        <x:f>IF(I20="оплачен",E20*F20-G20,0)</x:f>
        <x:v>10476</x:v>
      </x:c>
      <x:c r="K20" s="8" t="n">
        <x:f>IF(I20="оплачен",E20*H20,0)</x:f>
        <x:v>5700</x:v>
      </x:c>
      <x:c r="L20" s="8" t="n">
        <x:f>J20-K20</x:f>
        <x:v>4776</x:v>
      </x:c>
      <x:c r="M20" s="2" t="str">
        <x:f>TEXT(B20,"yyyy-mm")</x:f>
        <x:v>2026-07</x:v>
      </x:c>
      <x:c r="N20" s="2"/>
      <x:c r="O20" s="2"/>
      <x:c r="P20" s="2"/>
    </x:row>
    <x:row r="21" ht="26" customHeight="1">
      <x:c r="A21" s="2" t="str">
        <x:v>O020</x:v>
      </x:c>
      <x:c r="B21" s="7" t="d">
        <x:v>2026-07-20T00:00:00.000Z</x:v>
      </x:c>
      <x:c r="C21" s="2" t="str">
        <x:v>Термокружка</x:v>
      </x:c>
      <x:c r="D21" s="2" t="str">
        <x:v>Маркетплейс</x:v>
      </x:c>
      <x:c r="E21" s="29" t="n">
        <x:v>2</x:v>
      </x:c>
      <x:c r="F21" s="8" t="n">
        <x:v>1600</x:v>
      </x:c>
      <x:c r="G21" s="8" t="n">
        <x:v>384</x:v>
      </x:c>
      <x:c r="H21" s="8" t="n">
        <x:v>650</x:v>
      </x:c>
      <x:c r="I21" s="2" t="str">
        <x:v>оплачен</x:v>
      </x:c>
      <x:c r="J21" s="8" t="n">
        <x:f>IF(I21="оплачен",E21*F21-G21,0)</x:f>
        <x:v>2816</x:v>
      </x:c>
      <x:c r="K21" s="8" t="n">
        <x:f>IF(I21="оплачен",E21*H21,0)</x:f>
        <x:v>1300</x:v>
      </x:c>
      <x:c r="L21" s="8" t="n">
        <x:f>J21-K21</x:f>
        <x:v>1516</x:v>
      </x:c>
      <x:c r="M21" s="2" t="str">
        <x:f>TEXT(B21,"yyyy-mm")</x:f>
        <x:v>2026-07</x:v>
      </x:c>
      <x:c r="N21" s="2"/>
      <x:c r="O21" s="2"/>
      <x:c r="P21" s="2"/>
    </x:row>
    <x:row r="22" ht="26" customHeight="1">
      <x:c r="A22" s="2" t="str">
        <x:v>O021</x:v>
      </x:c>
      <x:c r="B22" s="7" t="d">
        <x:v>2026-07-21T00:00:00.000Z</x:v>
      </x:c>
      <x:c r="C22" s="2" t="str">
        <x:v>Термокружка</x:v>
      </x:c>
      <x:c r="D22" s="2" t="str">
        <x:v>Маркетплейс</x:v>
      </x:c>
      <x:c r="E22" s="29" t="n">
        <x:v>1</x:v>
      </x:c>
      <x:c r="F22" s="8" t="n">
        <x:v>1600</x:v>
      </x:c>
      <x:c r="G22" s="8" t="n">
        <x:v>192</x:v>
      </x:c>
      <x:c r="H22" s="8" t="n">
        <x:v>650</x:v>
      </x:c>
      <x:c r="I22" s="2" t="str">
        <x:v>оплачен</x:v>
      </x:c>
      <x:c r="J22" s="8" t="n">
        <x:f>IF(I22="оплачен",E22*F22-G22,0)</x:f>
        <x:v>1408</x:v>
      </x:c>
      <x:c r="K22" s="8" t="n">
        <x:f>IF(I22="оплачен",E22*H22,0)</x:f>
        <x:v>650</x:v>
      </x:c>
      <x:c r="L22" s="8" t="n">
        <x:f>J22-K22</x:f>
        <x:v>758</x:v>
      </x:c>
      <x:c r="M22" s="2" t="str">
        <x:f>TEXT(B22,"yyyy-mm")</x:f>
        <x:v>2026-07</x:v>
      </x:c>
      <x:c r="N22" s="2"/>
      <x:c r="O22" s="2"/>
      <x:c r="P22" s="2"/>
    </x:row>
    <x:row r="23" ht="26" customHeight="1">
      <x:c r="A23" s="2" t="str">
        <x:v>O022</x:v>
      </x:c>
      <x:c r="B23" s="7" t="d">
        <x:v>2026-07-22T00:00:00.000Z</x:v>
      </x:c>
      <x:c r="C23" s="2" t="str">
        <x:v>Настольная лампа</x:v>
      </x:c>
      <x:c r="D23" s="2" t="str">
        <x:v>Соцсети</x:v>
      </x:c>
      <x:c r="E23" s="29" t="n">
        <x:v>4</x:v>
      </x:c>
      <x:c r="F23" s="8" t="n">
        <x:v>2900</x:v>
      </x:c>
      <x:c r="G23" s="8" t="n">
        <x:v>348</x:v>
      </x:c>
      <x:c r="H23" s="8" t="n">
        <x:v>1700</x:v>
      </x:c>
      <x:c r="I23" s="2" t="str">
        <x:v>оплачен</x:v>
      </x:c>
      <x:c r="J23" s="8" t="n">
        <x:f>IF(I23="оплачен",E23*F23-G23,0)</x:f>
        <x:v>11252</x:v>
      </x:c>
      <x:c r="K23" s="8" t="n">
        <x:f>IF(I23="оплачен",E23*H23,0)</x:f>
        <x:v>6800</x:v>
      </x:c>
      <x:c r="L23" s="8" t="n">
        <x:f>J23-K23</x:f>
        <x:v>4452</x:v>
      </x:c>
      <x:c r="M23" s="2" t="str">
        <x:f>TEXT(B23,"yyyy-mm")</x:f>
        <x:v>2026-07</x:v>
      </x:c>
      <x:c r="N23" s="2"/>
      <x:c r="O23" s="2"/>
      <x:c r="P23" s="2"/>
    </x:row>
    <x:row r="24" ht="26" customHeight="1">
      <x:c r="A24" s="2" t="str">
        <x:v>O023</x:v>
      </x:c>
      <x:c r="B24" s="7" t="d">
        <x:v>2026-07-23T00:00:00.000Z</x:v>
      </x:c>
      <x:c r="C24" s="2" t="str">
        <x:v>Настольная лампа</x:v>
      </x:c>
      <x:c r="D24" s="2" t="str">
        <x:v>Маркетплейс</x:v>
      </x:c>
      <x:c r="E24" s="29" t="n">
        <x:v>3</x:v>
      </x:c>
      <x:c r="F24" s="8" t="n">
        <x:v>2900</x:v>
      </x:c>
      <x:c r="G24" s="8" t="n">
        <x:v>1044</x:v>
      </x:c>
      <x:c r="H24" s="8" t="n">
        <x:v>1700</x:v>
      </x:c>
      <x:c r="I24" s="2" t="str">
        <x:v>оплачен</x:v>
      </x:c>
      <x:c r="J24" s="8" t="n">
        <x:f>IF(I24="оплачен",E24*F24-G24,0)</x:f>
        <x:v>7656</x:v>
      </x:c>
      <x:c r="K24" s="8" t="n">
        <x:f>IF(I24="оплачен",E24*H24,0)</x:f>
        <x:v>5100</x:v>
      </x:c>
      <x:c r="L24" s="8" t="n">
        <x:f>J24-K24</x:f>
        <x:v>2556</x:v>
      </x:c>
      <x:c r="M24" s="2" t="str">
        <x:f>TEXT(B24,"yyyy-mm")</x:f>
        <x:v>2026-07</x:v>
      </x:c>
      <x:c r="N24" s="2"/>
      <x:c r="O24" s="2"/>
      <x:c r="P24" s="2"/>
    </x:row>
    <x:row r="25" ht="26" customHeight="1">
      <x:c r="A25" s="2" t="str">
        <x:v>O024</x:v>
      </x:c>
      <x:c r="B25" s="7" t="d">
        <x:v>2026-07-24T00:00:00.000Z</x:v>
      </x:c>
      <x:c r="C25" s="2" t="str">
        <x:v>Термокружка</x:v>
      </x:c>
      <x:c r="D25" s="2" t="str">
        <x:v>Соцсети</x:v>
      </x:c>
      <x:c r="E25" s="29" t="n">
        <x:v>4</x:v>
      </x:c>
      <x:c r="F25" s="8" t="n">
        <x:v>1600</x:v>
      </x:c>
      <x:c r="G25" s="8" t="n">
        <x:v>192</x:v>
      </x:c>
      <x:c r="H25" s="8" t="n">
        <x:v>650</x:v>
      </x:c>
      <x:c r="I25" s="2" t="str">
        <x:v>оплачен</x:v>
      </x:c>
      <x:c r="J25" s="8" t="n">
        <x:f>IF(I25="оплачен",E25*F25-G25,0)</x:f>
        <x:v>6208</x:v>
      </x:c>
      <x:c r="K25" s="8" t="n">
        <x:f>IF(I25="оплачен",E25*H25,0)</x:f>
        <x:v>2600</x:v>
      </x:c>
      <x:c r="L25" s="8" t="n">
        <x:f>J25-K25</x:f>
        <x:v>3608</x:v>
      </x:c>
      <x:c r="M25" s="2" t="str">
        <x:f>TEXT(B25,"yyyy-mm")</x:f>
        <x:v>2026-07</x:v>
      </x:c>
      <x:c r="N25" s="2"/>
      <x:c r="O25" s="2"/>
      <x:c r="P25" s="2"/>
    </x:row>
    <x:row r="26" ht="26" customHeight="1">
      <x:c r="A26" s="2" t="str">
        <x:v>O025</x:v>
      </x:c>
      <x:c r="B26" s="7" t="d">
        <x:v>2026-07-25T00:00:00.000Z</x:v>
      </x:c>
      <x:c r="C26" s="2" t="str">
        <x:v>Планер</x:v>
      </x:c>
      <x:c r="D26" s="2" t="str">
        <x:v>Соцсети</x:v>
      </x:c>
      <x:c r="E26" s="29" t="n">
        <x:v>2</x:v>
      </x:c>
      <x:c r="F26" s="8" t="n">
        <x:v>800</x:v>
      </x:c>
      <x:c r="G26" s="8" t="n">
        <x:v>48</x:v>
      </x:c>
      <x:c r="H26" s="8" t="n">
        <x:v>280</x:v>
      </x:c>
      <x:c r="I26" s="2" t="str">
        <x:v>оплачен</x:v>
      </x:c>
      <x:c r="J26" s="8" t="n">
        <x:f>IF(I26="оплачен",E26*F26-G26,0)</x:f>
        <x:v>1552</x:v>
      </x:c>
      <x:c r="K26" s="8" t="n">
        <x:f>IF(I26="оплачен",E26*H26,0)</x:f>
        <x:v>560</x:v>
      </x:c>
      <x:c r="L26" s="8" t="n">
        <x:f>J26-K26</x:f>
        <x:v>992</x:v>
      </x:c>
      <x:c r="M26" s="2" t="str">
        <x:f>TEXT(B26,"yyyy-mm")</x:f>
        <x:v>2026-07</x:v>
      </x:c>
      <x:c r="N26" s="2"/>
      <x:c r="O26" s="2"/>
      <x:c r="P26" s="2"/>
    </x:row>
    <x:row r="27" ht="26" customHeight="1">
      <x:c r="A27" s="2" t="str">
        <x:v>O026</x:v>
      </x:c>
      <x:c r="B27" s="7" t="d">
        <x:v>2026-07-26T00:00:00.000Z</x:v>
      </x:c>
      <x:c r="C27" s="2" t="str">
        <x:v>Термокружка</x:v>
      </x:c>
      <x:c r="D27" s="2" t="str">
        <x:v>Маркетплейс</x:v>
      </x:c>
      <x:c r="E27" s="29" t="n">
        <x:v>2</x:v>
      </x:c>
      <x:c r="F27" s="8" t="n">
        <x:v>1600</x:v>
      </x:c>
      <x:c r="G27" s="8" t="n">
        <x:v>384</x:v>
      </x:c>
      <x:c r="H27" s="8" t="n">
        <x:v>650</x:v>
      </x:c>
      <x:c r="I27" s="2" t="str">
        <x:v>оплачен</x:v>
      </x:c>
      <x:c r="J27" s="8" t="n">
        <x:f>IF(I27="оплачен",E27*F27-G27,0)</x:f>
        <x:v>2816</x:v>
      </x:c>
      <x:c r="K27" s="8" t="n">
        <x:f>IF(I27="оплачен",E27*H27,0)</x:f>
        <x:v>1300</x:v>
      </x:c>
      <x:c r="L27" s="8" t="n">
        <x:f>J27-K27</x:f>
        <x:v>1516</x:v>
      </x:c>
      <x:c r="M27" s="2" t="str">
        <x:f>TEXT(B27,"yyyy-mm")</x:f>
        <x:v>2026-07</x:v>
      </x:c>
      <x:c r="N27" s="2"/>
      <x:c r="O27" s="2"/>
      <x:c r="P27" s="2"/>
    </x:row>
    <x:row r="28" ht="26" customHeight="1">
      <x:c r="A28" s="2" t="str">
        <x:v>O027</x:v>
      </x:c>
      <x:c r="B28" s="7" t="d">
        <x:v>2026-07-27T00:00:00.000Z</x:v>
      </x:c>
      <x:c r="C28" s="2" t="str">
        <x:v>Настольная лампа</x:v>
      </x:c>
      <x:c r="D28" s="2" t="str">
        <x:v>Соцсети</x:v>
      </x:c>
      <x:c r="E28" s="29" t="n">
        <x:v>1</x:v>
      </x:c>
      <x:c r="F28" s="8" t="n">
        <x:v>2900</x:v>
      </x:c>
      <x:c r="G28" s="8" t="n">
        <x:v>87</x:v>
      </x:c>
      <x:c r="H28" s="8" t="n">
        <x:v>1700</x:v>
      </x:c>
      <x:c r="I28" s="2" t="str">
        <x:v>отменён</x:v>
      </x:c>
      <x:c r="J28" s="8" t="n">
        <x:f>IF(I28="оплачен",E28*F28-G28,0)</x:f>
        <x:v>0</x:v>
      </x:c>
      <x:c r="K28" s="8" t="n">
        <x:f>IF(I28="оплачен",E28*H28,0)</x:f>
        <x:v>0</x:v>
      </x:c>
      <x:c r="L28" s="8" t="n">
        <x:f>J28-K28</x:f>
        <x:v>0</x:v>
      </x:c>
      <x:c r="M28" s="2" t="str">
        <x:f>TEXT(B28,"yyyy-mm")</x:f>
        <x:v>2026-07</x:v>
      </x:c>
      <x:c r="N28" s="2"/>
      <x:c r="O28" s="2"/>
      <x:c r="P28" s="2"/>
    </x:row>
    <x:row r="29" ht="26" customHeight="1">
      <x:c r="A29" s="2" t="str">
        <x:v>O028</x:v>
      </x:c>
      <x:c r="B29" s="7" t="d">
        <x:v>2026-07-28T00:00:00.000Z</x:v>
      </x:c>
      <x:c r="C29" s="2" t="str">
        <x:v>Термокружка</x:v>
      </x:c>
      <x:c r="D29" s="2" t="str">
        <x:v>Соцсети</x:v>
      </x:c>
      <x:c r="E29" s="29" t="n">
        <x:v>1</x:v>
      </x:c>
      <x:c r="F29" s="8" t="n">
        <x:v>1600</x:v>
      </x:c>
      <x:c r="G29" s="8" t="n">
        <x:v>48</x:v>
      </x:c>
      <x:c r="H29" s="8" t="n">
        <x:v>650</x:v>
      </x:c>
      <x:c r="I29" s="2" t="str">
        <x:v>оплачен</x:v>
      </x:c>
      <x:c r="J29" s="8" t="n">
        <x:f>IF(I29="оплачен",E29*F29-G29,0)</x:f>
        <x:v>1552</x:v>
      </x:c>
      <x:c r="K29" s="8" t="n">
        <x:f>IF(I29="оплачен",E29*H29,0)</x:f>
        <x:v>650</x:v>
      </x:c>
      <x:c r="L29" s="8" t="n">
        <x:f>J29-K29</x:f>
        <x:v>902</x:v>
      </x:c>
      <x:c r="M29" s="2" t="str">
        <x:f>TEXT(B29,"yyyy-mm")</x:f>
        <x:v>2026-07</x:v>
      </x:c>
      <x:c r="N29" s="2"/>
      <x:c r="O29" s="2"/>
      <x:c r="P29" s="2"/>
    </x:row>
    <x:row r="30" ht="26" customHeight="1">
      <x:c r="A30" s="2" t="str">
        <x:v>O029</x:v>
      </x:c>
      <x:c r="B30" s="7" t="d">
        <x:v>2026-07-01T00:00:00.000Z</x:v>
      </x:c>
      <x:c r="C30" s="2" t="str">
        <x:v>Рюкзак</x:v>
      </x:c>
      <x:c r="D30" s="2" t="str">
        <x:v>Соцсети</x:v>
      </x:c>
      <x:c r="E30" s="29" t="n">
        <x:v>1</x:v>
      </x:c>
      <x:c r="F30" s="8" t="n">
        <x:v>3600</x:v>
      </x:c>
      <x:c r="G30" s="8" t="n">
        <x:v>108</x:v>
      </x:c>
      <x:c r="H30" s="8" t="n">
        <x:v>1900</x:v>
      </x:c>
      <x:c r="I30" s="2" t="str">
        <x:v>оплачен</x:v>
      </x:c>
      <x:c r="J30" s="8" t="n">
        <x:f>IF(I30="оплачен",E30*F30-G30,0)</x:f>
        <x:v>3492</x:v>
      </x:c>
      <x:c r="K30" s="8" t="n">
        <x:f>IF(I30="оплачен",E30*H30,0)</x:f>
        <x:v>1900</x:v>
      </x:c>
      <x:c r="L30" s="8" t="n">
        <x:f>J30-K30</x:f>
        <x:v>1592</x:v>
      </x:c>
      <x:c r="M30" s="2" t="str">
        <x:f>TEXT(B30,"yyyy-mm")</x:f>
        <x:v>2026-07</x:v>
      </x:c>
      <x:c r="N30" s="2"/>
      <x:c r="O30" s="2"/>
      <x:c r="P30" s="2"/>
    </x:row>
    <x:row r="31" ht="26" customHeight="1">
      <x:c r="A31" s="2" t="str">
        <x:v>O030</x:v>
      </x:c>
      <x:c r="B31" s="7" t="d">
        <x:v>2026-07-02T00:00:00.000Z</x:v>
      </x:c>
      <x:c r="C31" s="2" t="str">
        <x:v>Настольная лампа</x:v>
      </x:c>
      <x:c r="D31" s="2" t="str">
        <x:v>Маркетплейс</x:v>
      </x:c>
      <x:c r="E31" s="29" t="n">
        <x:v>2</x:v>
      </x:c>
      <x:c r="F31" s="8" t="n">
        <x:v>2900</x:v>
      </x:c>
      <x:c r="G31" s="8" t="n">
        <x:v>696</x:v>
      </x:c>
      <x:c r="H31" s="8" t="n">
        <x:v>1700</x:v>
      </x:c>
      <x:c r="I31" s="2" t="str">
        <x:v>оплачен</x:v>
      </x:c>
      <x:c r="J31" s="8" t="n">
        <x:f>IF(I31="оплачен",E31*F31-G31,0)</x:f>
        <x:v>5104</x:v>
      </x:c>
      <x:c r="K31" s="8" t="n">
        <x:f>IF(I31="оплачен",E31*H31,0)</x:f>
        <x:v>3400</x:v>
      </x:c>
      <x:c r="L31" s="8" t="n">
        <x:f>J31-K31</x:f>
        <x:v>1704</x:v>
      </x:c>
      <x:c r="M31" s="2" t="str">
        <x:f>TEXT(B31,"yyyy-mm")</x:f>
        <x:v>2026-07</x:v>
      </x:c>
      <x:c r="N31" s="2"/>
      <x:c r="O31" s="2"/>
      <x:c r="P31" s="2"/>
    </x:row>
    <x:row r="32" ht="26" customHeight="1">
      <x:c r="A32" s="2" t="str">
        <x:v>O031</x:v>
      </x:c>
      <x:c r="B32" s="7" t="d">
        <x:v>2026-07-03T00:00:00.000Z</x:v>
      </x:c>
      <x:c r="C32" s="2" t="str">
        <x:v>Рюкзак</x:v>
      </x:c>
      <x:c r="D32" s="2" t="str">
        <x:v>Маркетплейс</x:v>
      </x:c>
      <x:c r="E32" s="29" t="n">
        <x:v>2</x:v>
      </x:c>
      <x:c r="F32" s="8" t="n">
        <x:v>3600</x:v>
      </x:c>
      <x:c r="G32" s="8" t="n">
        <x:v>864</x:v>
      </x:c>
      <x:c r="H32" s="8" t="n">
        <x:v>1900</x:v>
      </x:c>
      <x:c r="I32" s="2" t="str">
        <x:v>оплачен</x:v>
      </x:c>
      <x:c r="J32" s="8" t="n">
        <x:f>IF(I32="оплачен",E32*F32-G32,0)</x:f>
        <x:v>6336</x:v>
      </x:c>
      <x:c r="K32" s="8" t="n">
        <x:f>IF(I32="оплачен",E32*H32,0)</x:f>
        <x:v>3800</x:v>
      </x:c>
      <x:c r="L32" s="8" t="n">
        <x:f>J32-K32</x:f>
        <x:v>2536</x:v>
      </x:c>
      <x:c r="M32" s="2" t="str">
        <x:f>TEXT(B32,"yyyy-mm")</x:f>
        <x:v>2026-07</x:v>
      </x:c>
      <x:c r="N32" s="2"/>
      <x:c r="O32" s="2"/>
      <x:c r="P32" s="2"/>
    </x:row>
    <x:row r="33" ht="26" customHeight="1">
      <x:c r="A33" s="2" t="str">
        <x:v>O032</x:v>
      </x:c>
      <x:c r="B33" s="7" t="d">
        <x:v>2026-07-04T00:00:00.000Z</x:v>
      </x:c>
      <x:c r="C33" s="2" t="str">
        <x:v>Рюкзак</x:v>
      </x:c>
      <x:c r="D33" s="2" t="str">
        <x:v>Маркетплейс</x:v>
      </x:c>
      <x:c r="E33" s="29" t="n">
        <x:v>4</x:v>
      </x:c>
      <x:c r="F33" s="8" t="n">
        <x:v>3600</x:v>
      </x:c>
      <x:c r="G33" s="8" t="n">
        <x:v>1728</x:v>
      </x:c>
      <x:c r="H33" s="8" t="n">
        <x:v>1900</x:v>
      </x:c>
      <x:c r="I33" s="2" t="str">
        <x:v>оплачен</x:v>
      </x:c>
      <x:c r="J33" s="8" t="n">
        <x:f>IF(I33="оплачен",E33*F33-G33,0)</x:f>
        <x:v>12672</x:v>
      </x:c>
      <x:c r="K33" s="8" t="n">
        <x:f>IF(I33="оплачен",E33*H33,0)</x:f>
        <x:v>7600</x:v>
      </x:c>
      <x:c r="L33" s="8" t="n">
        <x:f>J33-K33</x:f>
        <x:v>5072</x:v>
      </x:c>
      <x:c r="M33" s="2" t="str">
        <x:f>TEXT(B33,"yyyy-mm")</x:f>
        <x:v>2026-07</x:v>
      </x:c>
      <x:c r="N33" s="2"/>
      <x:c r="O33" s="2"/>
      <x:c r="P33" s="2"/>
    </x:row>
    <x:row r="34" ht="26" customHeight="1">
      <x:c r="A34" s="2" t="str">
        <x:v>O033</x:v>
      </x:c>
      <x:c r="B34" s="7" t="d">
        <x:v>2026-07-05T00:00:00.000Z</x:v>
      </x:c>
      <x:c r="C34" s="2" t="str">
        <x:v>Термокружка</x:v>
      </x:c>
      <x:c r="D34" s="2" t="str">
        <x:v>Соцсети</x:v>
      </x:c>
      <x:c r="E34" s="29" t="n">
        <x:v>3</x:v>
      </x:c>
      <x:c r="F34" s="8" t="n">
        <x:v>1600</x:v>
      </x:c>
      <x:c r="G34" s="8" t="n">
        <x:v>144</x:v>
      </x:c>
      <x:c r="H34" s="8" t="n">
        <x:v>650</x:v>
      </x:c>
      <x:c r="I34" s="2" t="str">
        <x:v>оплачен</x:v>
      </x:c>
      <x:c r="J34" s="8" t="n">
        <x:f>IF(I34="оплачен",E34*F34-G34,0)</x:f>
        <x:v>4656</x:v>
      </x:c>
      <x:c r="K34" s="8" t="n">
        <x:f>IF(I34="оплачен",E34*H34,0)</x:f>
        <x:v>1950</x:v>
      </x:c>
      <x:c r="L34" s="8" t="n">
        <x:f>J34-K34</x:f>
        <x:v>2706</x:v>
      </x:c>
      <x:c r="M34" s="2" t="str">
        <x:f>TEXT(B34,"yyyy-mm")</x:f>
        <x:v>2026-07</x:v>
      </x:c>
      <x:c r="N34" s="2"/>
      <x:c r="O34" s="2"/>
      <x:c r="P34" s="2"/>
    </x:row>
    <x:row r="35" ht="26" customHeight="1">
      <x:c r="A35" s="2" t="str">
        <x:v>O034</x:v>
      </x:c>
      <x:c r="B35" s="7" t="d">
        <x:v>2026-07-06T00:00:00.000Z</x:v>
      </x:c>
      <x:c r="C35" s="2" t="str">
        <x:v>Термокружка</x:v>
      </x:c>
      <x:c r="D35" s="2" t="str">
        <x:v>Соцсети</x:v>
      </x:c>
      <x:c r="E35" s="29" t="n">
        <x:v>2</x:v>
      </x:c>
      <x:c r="F35" s="8" t="n">
        <x:v>1600</x:v>
      </x:c>
      <x:c r="G35" s="8" t="n">
        <x:v>96</x:v>
      </x:c>
      <x:c r="H35" s="8" t="n">
        <x:v>650</x:v>
      </x:c>
      <x:c r="I35" s="2" t="str">
        <x:v>оплачен</x:v>
      </x:c>
      <x:c r="J35" s="8" t="n">
        <x:f>IF(I35="оплачен",E35*F35-G35,0)</x:f>
        <x:v>3104</x:v>
      </x:c>
      <x:c r="K35" s="8" t="n">
        <x:f>IF(I35="оплачен",E35*H35,0)</x:f>
        <x:v>1300</x:v>
      </x:c>
      <x:c r="L35" s="8" t="n">
        <x:f>J35-K35</x:f>
        <x:v>1804</x:v>
      </x:c>
      <x:c r="M35" s="2" t="str">
        <x:f>TEXT(B35,"yyyy-mm")</x:f>
        <x:v>2026-07</x:v>
      </x:c>
      <x:c r="N35" s="2"/>
      <x:c r="O35" s="2"/>
      <x:c r="P35" s="2"/>
    </x:row>
    <x:row r="36" ht="26" customHeight="1">
      <x:c r="A36" s="2" t="str">
        <x:v>O035</x:v>
      </x:c>
      <x:c r="B36" s="7" t="d">
        <x:v>2026-07-07T00:00:00.000Z</x:v>
      </x:c>
      <x:c r="C36" s="2" t="str">
        <x:v>Настольная лампа</x:v>
      </x:c>
      <x:c r="D36" s="2" t="str">
        <x:v>Соцсети</x:v>
      </x:c>
      <x:c r="E36" s="29" t="n">
        <x:v>3</x:v>
      </x:c>
      <x:c r="F36" s="8" t="n">
        <x:v>2900</x:v>
      </x:c>
      <x:c r="G36" s="8" t="n">
        <x:v>261</x:v>
      </x:c>
      <x:c r="H36" s="8" t="n">
        <x:v>1700</x:v>
      </x:c>
      <x:c r="I36" s="2" t="str">
        <x:v>возвращён</x:v>
      </x:c>
      <x:c r="J36" s="8" t="n">
        <x:f>IF(I36="оплачен",E36*F36-G36,0)</x:f>
        <x:v>0</x:v>
      </x:c>
      <x:c r="K36" s="8" t="n">
        <x:f>IF(I36="оплачен",E36*H36,0)</x:f>
        <x:v>0</x:v>
      </x:c>
      <x:c r="L36" s="8" t="n">
        <x:f>J36-K36</x:f>
        <x:v>0</x:v>
      </x:c>
      <x:c r="M36" s="2" t="str">
        <x:f>TEXT(B36,"yyyy-mm")</x:f>
        <x:v>2026-07</x:v>
      </x:c>
      <x:c r="N36" s="2"/>
      <x:c r="O36" s="2"/>
      <x:c r="P36" s="2"/>
    </x:row>
    <x:row r="37" ht="26" customHeight="1">
      <x:c r="A37" s="2" t="str">
        <x:v>O036</x:v>
      </x:c>
      <x:c r="B37" s="7" t="d">
        <x:v>2026-07-08T00:00:00.000Z</x:v>
      </x:c>
      <x:c r="C37" s="2" t="str">
        <x:v>Термокружка</x:v>
      </x:c>
      <x:c r="D37" s="2" t="str">
        <x:v>Сайт</x:v>
      </x:c>
      <x:c r="E37" s="29" t="n">
        <x:v>2</x:v>
      </x:c>
      <x:c r="F37" s="8" t="n">
        <x:v>1600</x:v>
      </x:c>
      <x:c r="G37" s="8" t="n">
        <x:v>96</x:v>
      </x:c>
      <x:c r="H37" s="8" t="n">
        <x:v>650</x:v>
      </x:c>
      <x:c r="I37" s="2" t="str">
        <x:v>оплачен</x:v>
      </x:c>
      <x:c r="J37" s="8" t="n">
        <x:f>IF(I37="оплачен",E37*F37-G37,0)</x:f>
        <x:v>3104</x:v>
      </x:c>
      <x:c r="K37" s="8" t="n">
        <x:f>IF(I37="оплачен",E37*H37,0)</x:f>
        <x:v>1300</x:v>
      </x:c>
      <x:c r="L37" s="8" t="n">
        <x:f>J37-K37</x:f>
        <x:v>1804</x:v>
      </x:c>
      <x:c r="M37" s="2" t="str">
        <x:f>TEXT(B37,"yyyy-mm")</x:f>
        <x:v>2026-07</x:v>
      </x:c>
      <x:c r="N37" s="2"/>
      <x:c r="O37" s="2"/>
      <x:c r="P37" s="2"/>
    </x:row>
    <x:row r="38" ht="26" customHeight="1">
      <x:c r="A38" s="2" t="str">
        <x:v>O037</x:v>
      </x:c>
      <x:c r="B38" s="7" t="d">
        <x:v>2026-07-09T00:00:00.000Z</x:v>
      </x:c>
      <x:c r="C38" s="2" t="str">
        <x:v>Термокружка</x:v>
      </x:c>
      <x:c r="D38" s="2" t="str">
        <x:v>Сайт</x:v>
      </x:c>
      <x:c r="E38" s="29" t="n">
        <x:v>2</x:v>
      </x:c>
      <x:c r="F38" s="8" t="n">
        <x:v>1600</x:v>
      </x:c>
      <x:c r="G38" s="8" t="n">
        <x:v>96</x:v>
      </x:c>
      <x:c r="H38" s="8" t="n">
        <x:v>650</x:v>
      </x:c>
      <x:c r="I38" s="2" t="str">
        <x:v>оплачен</x:v>
      </x:c>
      <x:c r="J38" s="8" t="n">
        <x:f>IF(I38="оплачен",E38*F38-G38,0)</x:f>
        <x:v>3104</x:v>
      </x:c>
      <x:c r="K38" s="8" t="n">
        <x:f>IF(I38="оплачен",E38*H38,0)</x:f>
        <x:v>1300</x:v>
      </x:c>
      <x:c r="L38" s="8" t="n">
        <x:f>J38-K38</x:f>
        <x:v>1804</x:v>
      </x:c>
      <x:c r="M38" s="2" t="str">
        <x:f>TEXT(B38,"yyyy-mm")</x:f>
        <x:v>2026-07</x:v>
      </x:c>
      <x:c r="N38" s="2"/>
      <x:c r="O38" s="2"/>
      <x:c r="P38" s="2"/>
    </x:row>
    <x:row r="39" ht="26" customHeight="1">
      <x:c r="A39" s="2" t="str">
        <x:v>O038</x:v>
      </x:c>
      <x:c r="B39" s="7" t="d">
        <x:v>2026-07-10T00:00:00.000Z</x:v>
      </x:c>
      <x:c r="C39" s="2" t="str">
        <x:v>Термокружка</x:v>
      </x:c>
      <x:c r="D39" s="2" t="str">
        <x:v>Сайт</x:v>
      </x:c>
      <x:c r="E39" s="29" t="n">
        <x:v>3</x:v>
      </x:c>
      <x:c r="F39" s="8" t="n">
        <x:v>1600</x:v>
      </x:c>
      <x:c r="G39" s="8" t="n">
        <x:v>144</x:v>
      </x:c>
      <x:c r="H39" s="8" t="n">
        <x:v>650</x:v>
      </x:c>
      <x:c r="I39" s="2" t="str">
        <x:v>оплачен</x:v>
      </x:c>
      <x:c r="J39" s="8" t="n">
        <x:f>IF(I39="оплачен",E39*F39-G39,0)</x:f>
        <x:v>4656</x:v>
      </x:c>
      <x:c r="K39" s="8" t="n">
        <x:f>IF(I39="оплачен",E39*H39,0)</x:f>
        <x:v>1950</x:v>
      </x:c>
      <x:c r="L39" s="8" t="n">
        <x:f>J39-K39</x:f>
        <x:v>2706</x:v>
      </x:c>
      <x:c r="M39" s="2" t="str">
        <x:f>TEXT(B39,"yyyy-mm")</x:f>
        <x:v>2026-07</x:v>
      </x:c>
      <x:c r="N39" s="2"/>
      <x:c r="O39" s="2"/>
      <x:c r="P39" s="2"/>
    </x:row>
    <x:row r="40" ht="26" customHeight="1">
      <x:c r="A40" s="2" t="str">
        <x:v>O039</x:v>
      </x:c>
      <x:c r="B40" s="7" t="d">
        <x:v>2026-07-11T00:00:00.000Z</x:v>
      </x:c>
      <x:c r="C40" s="2" t="str">
        <x:v>Термокружка</x:v>
      </x:c>
      <x:c r="D40" s="2" t="str">
        <x:v>Соцсети</x:v>
      </x:c>
      <x:c r="E40" s="29" t="n">
        <x:v>3</x:v>
      </x:c>
      <x:c r="F40" s="8" t="n">
        <x:v>1600</x:v>
      </x:c>
      <x:c r="G40" s="8" t="n">
        <x:v>144</x:v>
      </x:c>
      <x:c r="H40" s="8" t="n">
        <x:v>650</x:v>
      </x:c>
      <x:c r="I40" s="2" t="str">
        <x:v>оплачен</x:v>
      </x:c>
      <x:c r="J40" s="8" t="n">
        <x:f>IF(I40="оплачен",E40*F40-G40,0)</x:f>
        <x:v>4656</x:v>
      </x:c>
      <x:c r="K40" s="8" t="n">
        <x:f>IF(I40="оплачен",E40*H40,0)</x:f>
        <x:v>1950</x:v>
      </x:c>
      <x:c r="L40" s="8" t="n">
        <x:f>J40-K40</x:f>
        <x:v>2706</x:v>
      </x:c>
      <x:c r="M40" s="2" t="str">
        <x:f>TEXT(B40,"yyyy-mm")</x:f>
        <x:v>2026-07</x:v>
      </x:c>
      <x:c r="N40" s="2"/>
      <x:c r="O40" s="2"/>
      <x:c r="P40" s="2"/>
    </x:row>
    <x:row r="41" ht="26" customHeight="1">
      <x:c r="A41" s="2" t="str">
        <x:v>O040</x:v>
      </x:c>
      <x:c r="B41" s="7" t="d">
        <x:v>2026-07-12T00:00:00.000Z</x:v>
      </x:c>
      <x:c r="C41" s="2" t="str">
        <x:v>Рюкзак</x:v>
      </x:c>
      <x:c r="D41" s="2" t="str">
        <x:v>Соцсети</x:v>
      </x:c>
      <x:c r="E41" s="29" t="n">
        <x:v>1</x:v>
      </x:c>
      <x:c r="F41" s="8" t="n">
        <x:v>3600</x:v>
      </x:c>
      <x:c r="G41" s="8" t="n">
        <x:v>108</x:v>
      </x:c>
      <x:c r="H41" s="8" t="n">
        <x:v>1900</x:v>
      </x:c>
      <x:c r="I41" s="2" t="str">
        <x:v>отменён</x:v>
      </x:c>
      <x:c r="J41" s="8" t="n">
        <x:f>IF(I41="оплачен",E41*F41-G41,0)</x:f>
        <x:v>0</x:v>
      </x:c>
      <x:c r="K41" s="8" t="n">
        <x:f>IF(I41="оплачен",E41*H41,0)</x:f>
        <x:v>0</x:v>
      </x:c>
      <x:c r="L41" s="8" t="n">
        <x:f>J41-K41</x:f>
        <x:v>0</x:v>
      </x:c>
      <x:c r="M41" s="2" t="str">
        <x:f>TEXT(B41,"yyyy-mm")</x:f>
        <x:v>2026-07</x:v>
      </x:c>
      <x:c r="N41" s="2"/>
      <x:c r="O41" s="2"/>
      <x:c r="P41" s="2"/>
    </x:row>
    <x:row r="42" ht="26" customHeight="1">
      <x:c r="A42" s="2" t="str">
        <x:v>O041</x:v>
      </x:c>
      <x:c r="B42" s="7" t="d">
        <x:v>2026-07-13T00:00:00.000Z</x:v>
      </x:c>
      <x:c r="C42" s="2" t="str">
        <x:v>Настольная лампа</x:v>
      </x:c>
      <x:c r="D42" s="2" t="str">
        <x:v>Соцсети</x:v>
      </x:c>
      <x:c r="E42" s="29" t="n">
        <x:v>4</x:v>
      </x:c>
      <x:c r="F42" s="8" t="n">
        <x:v>2900</x:v>
      </x:c>
      <x:c r="G42" s="8" t="n">
        <x:v>348</x:v>
      </x:c>
      <x:c r="H42" s="8" t="n">
        <x:v>1700</x:v>
      </x:c>
      <x:c r="I42" s="2" t="str">
        <x:v>оплачен</x:v>
      </x:c>
      <x:c r="J42" s="8" t="n">
        <x:f>IF(I42="оплачен",E42*F42-G42,0)</x:f>
        <x:v>11252</x:v>
      </x:c>
      <x:c r="K42" s="8" t="n">
        <x:f>IF(I42="оплачен",E42*H42,0)</x:f>
        <x:v>6800</x:v>
      </x:c>
      <x:c r="L42" s="8" t="n">
        <x:f>J42-K42</x:f>
        <x:v>4452</x:v>
      </x:c>
      <x:c r="M42" s="2" t="str">
        <x:f>TEXT(B42,"yyyy-mm")</x:f>
        <x:v>2026-07</x:v>
      </x:c>
      <x:c r="N42" s="2"/>
      <x:c r="O42" s="2"/>
      <x:c r="P42" s="2"/>
    </x:row>
    <x:row r="43" ht="26" customHeight="1">
      <x:c r="A43" s="2" t="str">
        <x:v>O042</x:v>
      </x:c>
      <x:c r="B43" s="7" t="d">
        <x:v>2026-07-14T00:00:00.000Z</x:v>
      </x:c>
      <x:c r="C43" s="2" t="str">
        <x:v>Настольная лампа</x:v>
      </x:c>
      <x:c r="D43" s="2" t="str">
        <x:v>Маркетплейс</x:v>
      </x:c>
      <x:c r="E43" s="29" t="n">
        <x:v>1</x:v>
      </x:c>
      <x:c r="F43" s="8" t="n">
        <x:v>2900</x:v>
      </x:c>
      <x:c r="G43" s="8" t="n">
        <x:v>348</x:v>
      </x:c>
      <x:c r="H43" s="8" t="n">
        <x:v>1700</x:v>
      </x:c>
      <x:c r="I43" s="2" t="str">
        <x:v>оплачен</x:v>
      </x:c>
      <x:c r="J43" s="8" t="n">
        <x:f>IF(I43="оплачен",E43*F43-G43,0)</x:f>
        <x:v>2552</x:v>
      </x:c>
      <x:c r="K43" s="8" t="n">
        <x:f>IF(I43="оплачен",E43*H43,0)</x:f>
        <x:v>1700</x:v>
      </x:c>
      <x:c r="L43" s="8" t="n">
        <x:f>J43-K43</x:f>
        <x:v>852</x:v>
      </x:c>
      <x:c r="M43" s="2" t="str">
        <x:f>TEXT(B43,"yyyy-mm")</x:f>
        <x:v>2026-07</x:v>
      </x:c>
      <x:c r="N43" s="2"/>
      <x:c r="O43" s="2"/>
      <x:c r="P43" s="2"/>
    </x:row>
    <x:row r="44" ht="26" customHeight="1">
      <x:c r="A44" s="2" t="str">
        <x:v>O043</x:v>
      </x:c>
      <x:c r="B44" s="7" t="d">
        <x:v>2026-07-15T00:00:00.000Z</x:v>
      </x:c>
      <x:c r="C44" s="2" t="str">
        <x:v>Термокружка</x:v>
      </x:c>
      <x:c r="D44" s="2" t="str">
        <x:v>Маркетплейс</x:v>
      </x:c>
      <x:c r="E44" s="29" t="n">
        <x:v>1</x:v>
      </x:c>
      <x:c r="F44" s="8" t="n">
        <x:v>1600</x:v>
      </x:c>
      <x:c r="G44" s="8" t="n">
        <x:v>192</x:v>
      </x:c>
      <x:c r="H44" s="8" t="n">
        <x:v>650</x:v>
      </x:c>
      <x:c r="I44" s="2" t="str">
        <x:v>оплачен</x:v>
      </x:c>
      <x:c r="J44" s="8" t="n">
        <x:f>IF(I44="оплачен",E44*F44-G44,0)</x:f>
        <x:v>1408</x:v>
      </x:c>
      <x:c r="K44" s="8" t="n">
        <x:f>IF(I44="оплачен",E44*H44,0)</x:f>
        <x:v>650</x:v>
      </x:c>
      <x:c r="L44" s="8" t="n">
        <x:f>J44-K44</x:f>
        <x:v>758</x:v>
      </x:c>
      <x:c r="M44" s="2" t="str">
        <x:f>TEXT(B44,"yyyy-mm")</x:f>
        <x:v>2026-07</x:v>
      </x:c>
      <x:c r="N44" s="2"/>
      <x:c r="O44" s="2"/>
      <x:c r="P44" s="2"/>
    </x:row>
    <x:row r="45" ht="26" customHeight="1">
      <x:c r="A45" s="2" t="str">
        <x:v>O044</x:v>
      </x:c>
      <x:c r="B45" s="7" t="d">
        <x:v>2026-07-16T00:00:00.000Z</x:v>
      </x:c>
      <x:c r="C45" s="2" t="str">
        <x:v>Планер</x:v>
      </x:c>
      <x:c r="D45" s="2" t="str">
        <x:v>Соцсети</x:v>
      </x:c>
      <x:c r="E45" s="29" t="n">
        <x:v>2</x:v>
      </x:c>
      <x:c r="F45" s="8" t="n">
        <x:v>800</x:v>
      </x:c>
      <x:c r="G45" s="8" t="n">
        <x:v>48</x:v>
      </x:c>
      <x:c r="H45" s="8" t="n">
        <x:v>280</x:v>
      </x:c>
      <x:c r="I45" s="2" t="str">
        <x:v>оплачен</x:v>
      </x:c>
      <x:c r="J45" s="8" t="n">
        <x:f>IF(I45="оплачен",E45*F45-G45,0)</x:f>
        <x:v>1552</x:v>
      </x:c>
      <x:c r="K45" s="8" t="n">
        <x:f>IF(I45="оплачен",E45*H45,0)</x:f>
        <x:v>560</x:v>
      </x:c>
      <x:c r="L45" s="8" t="n">
        <x:f>J45-K45</x:f>
        <x:v>992</x:v>
      </x:c>
      <x:c r="M45" s="2" t="str">
        <x:f>TEXT(B45,"yyyy-mm")</x:f>
        <x:v>2026-07</x:v>
      </x:c>
      <x:c r="N45" s="2"/>
      <x:c r="O45" s="2"/>
      <x:c r="P45" s="2"/>
    </x:row>
    <x:row r="46" ht="26" customHeight="1">
      <x:c r="A46" s="2" t="str">
        <x:v>O045</x:v>
      </x:c>
      <x:c r="B46" s="7" t="d">
        <x:v>2026-07-17T00:00:00.000Z</x:v>
      </x:c>
      <x:c r="C46" s="2" t="str">
        <x:v>Рюкзак</x:v>
      </x:c>
      <x:c r="D46" s="2" t="str">
        <x:v>Соцсети</x:v>
      </x:c>
      <x:c r="E46" s="29" t="n">
        <x:v>4</x:v>
      </x:c>
      <x:c r="F46" s="8" t="n">
        <x:v>3600</x:v>
      </x:c>
      <x:c r="G46" s="8" t="n">
        <x:v>432</x:v>
      </x:c>
      <x:c r="H46" s="8" t="n">
        <x:v>1900</x:v>
      </x:c>
      <x:c r="I46" s="2" t="str">
        <x:v>оплачен</x:v>
      </x:c>
      <x:c r="J46" s="8" t="n">
        <x:f>IF(I46="оплачен",E46*F46-G46,0)</x:f>
        <x:v>13968</x:v>
      </x:c>
      <x:c r="K46" s="8" t="n">
        <x:f>IF(I46="оплачен",E46*H46,0)</x:f>
        <x:v>7600</x:v>
      </x:c>
      <x:c r="L46" s="8" t="n">
        <x:f>J46-K46</x:f>
        <x:v>6368</x:v>
      </x:c>
      <x:c r="M46" s="2" t="str">
        <x:f>TEXT(B46,"yyyy-mm")</x:f>
        <x:v>2026-07</x:v>
      </x:c>
      <x:c r="N46" s="2"/>
      <x:c r="O46" s="2"/>
      <x:c r="P46" s="2"/>
    </x:row>
    <x:row r="47" ht="26" customHeight="1">
      <x:c r="A47" s="2" t="str">
        <x:v>O046</x:v>
      </x:c>
      <x:c r="B47" s="7" t="d">
        <x:v>2026-07-18T00:00:00.000Z</x:v>
      </x:c>
      <x:c r="C47" s="2" t="str">
        <x:v>Настольная лампа</x:v>
      </x:c>
      <x:c r="D47" s="2" t="str">
        <x:v>Маркетплейс</x:v>
      </x:c>
      <x:c r="E47" s="29" t="n">
        <x:v>4</x:v>
      </x:c>
      <x:c r="F47" s="8" t="n">
        <x:v>2900</x:v>
      </x:c>
      <x:c r="G47" s="8" t="n">
        <x:v>1392</x:v>
      </x:c>
      <x:c r="H47" s="8" t="n">
        <x:v>1700</x:v>
      </x:c>
      <x:c r="I47" s="2" t="str">
        <x:v>оплачен</x:v>
      </x:c>
      <x:c r="J47" s="8" t="n">
        <x:f>IF(I47="оплачен",E47*F47-G47,0)</x:f>
        <x:v>10208</x:v>
      </x:c>
      <x:c r="K47" s="8" t="n">
        <x:f>IF(I47="оплачен",E47*H47,0)</x:f>
        <x:v>6800</x:v>
      </x:c>
      <x:c r="L47" s="8" t="n">
        <x:f>J47-K47</x:f>
        <x:v>3408</x:v>
      </x:c>
      <x:c r="M47" s="2" t="str">
        <x:f>TEXT(B47,"yyyy-mm")</x:f>
        <x:v>2026-07</x:v>
      </x:c>
      <x:c r="N47" s="2"/>
      <x:c r="O47" s="2"/>
      <x:c r="P47" s="2"/>
    </x:row>
    <x:row r="48" ht="26" customHeight="1">
      <x:c r="A48" s="2" t="str">
        <x:v>O047</x:v>
      </x:c>
      <x:c r="B48" s="7" t="d">
        <x:v>2026-07-19T00:00:00.000Z</x:v>
      </x:c>
      <x:c r="C48" s="2" t="str">
        <x:v>Планер</x:v>
      </x:c>
      <x:c r="D48" s="2" t="str">
        <x:v>Сайт</x:v>
      </x:c>
      <x:c r="E48" s="29" t="n">
        <x:v>4</x:v>
      </x:c>
      <x:c r="F48" s="8" t="n">
        <x:v>800</x:v>
      </x:c>
      <x:c r="G48" s="8" t="n">
        <x:v>96</x:v>
      </x:c>
      <x:c r="H48" s="8" t="n">
        <x:v>280</x:v>
      </x:c>
      <x:c r="I48" s="2" t="str">
        <x:v>оплачен</x:v>
      </x:c>
      <x:c r="J48" s="8" t="n">
        <x:f>IF(I48="оплачен",E48*F48-G48,0)</x:f>
        <x:v>3104</x:v>
      </x:c>
      <x:c r="K48" s="8" t="n">
        <x:f>IF(I48="оплачен",E48*H48,0)</x:f>
        <x:v>1120</x:v>
      </x:c>
      <x:c r="L48" s="8" t="n">
        <x:f>J48-K48</x:f>
        <x:v>1984</x:v>
      </x:c>
      <x:c r="M48" s="2" t="str">
        <x:f>TEXT(B48,"yyyy-mm")</x:f>
        <x:v>2026-07</x:v>
      </x:c>
      <x:c r="N48" s="2"/>
      <x:c r="O48" s="2"/>
      <x:c r="P48" s="2"/>
    </x:row>
    <x:row r="49" ht="26" customHeight="1">
      <x:c r="A49" s="2" t="str">
        <x:v>O048</x:v>
      </x:c>
      <x:c r="B49" s="7" t="d">
        <x:v>2026-07-20T00:00:00.000Z</x:v>
      </x:c>
      <x:c r="C49" s="2" t="str">
        <x:v>Термокружка</x:v>
      </x:c>
      <x:c r="D49" s="2" t="str">
        <x:v>Маркетплейс</x:v>
      </x:c>
      <x:c r="E49" s="29" t="n">
        <x:v>2</x:v>
      </x:c>
      <x:c r="F49" s="8" t="n">
        <x:v>1600</x:v>
      </x:c>
      <x:c r="G49" s="8" t="n">
        <x:v>384</x:v>
      </x:c>
      <x:c r="H49" s="8" t="n">
        <x:v>650</x:v>
      </x:c>
      <x:c r="I49" s="2" t="str">
        <x:v>оплачен</x:v>
      </x:c>
      <x:c r="J49" s="8" t="n">
        <x:f>IF(I49="оплачен",E49*F49-G49,0)</x:f>
        <x:v>2816</x:v>
      </x:c>
      <x:c r="K49" s="8" t="n">
        <x:f>IF(I49="оплачен",E49*H49,0)</x:f>
        <x:v>1300</x:v>
      </x:c>
      <x:c r="L49" s="8" t="n">
        <x:f>J49-K49</x:f>
        <x:v>1516</x:v>
      </x:c>
      <x:c r="M49" s="2" t="str">
        <x:f>TEXT(B49,"yyyy-mm")</x:f>
        <x:v>2026-07</x:v>
      </x:c>
      <x:c r="N49" s="2"/>
      <x:c r="O49" s="2"/>
      <x:c r="P49" s="2"/>
    </x:row>
    <x:row r="50" ht="26" customHeight="1">
      <x:c r="A50" s="2" t="str">
        <x:v>O049</x:v>
      </x:c>
      <x:c r="B50" s="7" t="d">
        <x:v>2026-07-21T00:00:00.000Z</x:v>
      </x:c>
      <x:c r="C50" s="2" t="str">
        <x:v>Рюкзак</x:v>
      </x:c>
      <x:c r="D50" s="2" t="str">
        <x:v>Маркетплейс</x:v>
      </x:c>
      <x:c r="E50" s="29" t="n">
        <x:v>1</x:v>
      </x:c>
      <x:c r="F50" s="8" t="n">
        <x:v>3600</x:v>
      </x:c>
      <x:c r="G50" s="8" t="n">
        <x:v>432</x:v>
      </x:c>
      <x:c r="H50" s="8" t="n">
        <x:v>1900</x:v>
      </x:c>
      <x:c r="I50" s="2" t="str">
        <x:v>оплачен</x:v>
      </x:c>
      <x:c r="J50" s="8" t="n">
        <x:f>IF(I50="оплачен",E50*F50-G50,0)</x:f>
        <x:v>3168</x:v>
      </x:c>
      <x:c r="K50" s="8" t="n">
        <x:f>IF(I50="оплачен",E50*H50,0)</x:f>
        <x:v>1900</x:v>
      </x:c>
      <x:c r="L50" s="8" t="n">
        <x:f>J50-K50</x:f>
        <x:v>1268</x:v>
      </x:c>
      <x:c r="M50" s="2" t="str">
        <x:f>TEXT(B50,"yyyy-mm")</x:f>
        <x:v>2026-07</x:v>
      </x:c>
      <x:c r="N50" s="2"/>
      <x:c r="O50" s="2"/>
      <x:c r="P50" s="2"/>
    </x:row>
    <x:row r="51" ht="26" customHeight="1">
      <x:c r="A51" s="2" t="str">
        <x:v>O050</x:v>
      </x:c>
      <x:c r="B51" s="7" t="d">
        <x:v>2026-07-22T00:00:00.000Z</x:v>
      </x:c>
      <x:c r="C51" s="2" t="str">
        <x:v>Планер</x:v>
      </x:c>
      <x:c r="D51" s="2" t="str">
        <x:v>Соцсети</x:v>
      </x:c>
      <x:c r="E51" s="29" t="n">
        <x:v>1</x:v>
      </x:c>
      <x:c r="F51" s="8" t="n">
        <x:v>800</x:v>
      </x:c>
      <x:c r="G51" s="8" t="n">
        <x:v>24</x:v>
      </x:c>
      <x:c r="H51" s="8" t="n">
        <x:v>280</x:v>
      </x:c>
      <x:c r="I51" s="2" t="str">
        <x:v>оплачен</x:v>
      </x:c>
      <x:c r="J51" s="8" t="n">
        <x:f>IF(I51="оплачен",E51*F51-G51,0)</x:f>
        <x:v>776</x:v>
      </x:c>
      <x:c r="K51" s="8" t="n">
        <x:f>IF(I51="оплачен",E51*H51,0)</x:f>
        <x:v>280</x:v>
      </x:c>
      <x:c r="L51" s="8" t="n">
        <x:f>J51-K51</x:f>
        <x:v>496</x:v>
      </x:c>
      <x:c r="M51" s="2" t="str">
        <x:f>TEXT(B51,"yyyy-mm")</x:f>
        <x:v>2026-07</x:v>
      </x:c>
      <x:c r="N51" s="2"/>
      <x:c r="O51" s="2"/>
      <x:c r="P51" s="2"/>
    </x:row>
    <x:row r="52" ht="26" customHeight="1">
      <x:c r="A52" s="2" t="str">
        <x:v>O051</x:v>
      </x:c>
      <x:c r="B52" s="7" t="d">
        <x:v>2026-07-23T00:00:00.000Z</x:v>
      </x:c>
      <x:c r="C52" s="2" t="str">
        <x:v>Планер</x:v>
      </x:c>
      <x:c r="D52" s="2" t="str">
        <x:v>Соцсети</x:v>
      </x:c>
      <x:c r="E52" s="29" t="n">
        <x:v>2</x:v>
      </x:c>
      <x:c r="F52" s="8" t="n">
        <x:v>800</x:v>
      </x:c>
      <x:c r="G52" s="8" t="n">
        <x:v>48</x:v>
      </x:c>
      <x:c r="H52" s="8" t="n">
        <x:v>280</x:v>
      </x:c>
      <x:c r="I52" s="2" t="str">
        <x:v>оплачен</x:v>
      </x:c>
      <x:c r="J52" s="8" t="n">
        <x:f>IF(I52="оплачен",E52*F52-G52,0)</x:f>
        <x:v>1552</x:v>
      </x:c>
      <x:c r="K52" s="8" t="n">
        <x:f>IF(I52="оплачен",E52*H52,0)</x:f>
        <x:v>560</x:v>
      </x:c>
      <x:c r="L52" s="8" t="n">
        <x:f>J52-K52</x:f>
        <x:v>992</x:v>
      </x:c>
      <x:c r="M52" s="2" t="str">
        <x:f>TEXT(B52,"yyyy-mm")</x:f>
        <x:v>2026-07</x:v>
      </x:c>
      <x:c r="N52" s="2"/>
      <x:c r="O52" s="2"/>
      <x:c r="P52" s="2"/>
    </x:row>
    <x:row r="53" ht="26" customHeight="1">
      <x:c r="A53" s="2" t="str">
        <x:v>O052</x:v>
      </x:c>
      <x:c r="B53" s="7" t="d">
        <x:v>2026-07-24T00:00:00.000Z</x:v>
      </x:c>
      <x:c r="C53" s="2" t="str">
        <x:v>Планер</x:v>
      </x:c>
      <x:c r="D53" s="2" t="str">
        <x:v>Сайт</x:v>
      </x:c>
      <x:c r="E53" s="29" t="n">
        <x:v>2</x:v>
      </x:c>
      <x:c r="F53" s="8" t="n">
        <x:v>800</x:v>
      </x:c>
      <x:c r="G53" s="8" t="n">
        <x:v>48</x:v>
      </x:c>
      <x:c r="H53" s="8" t="n">
        <x:v>280</x:v>
      </x:c>
      <x:c r="I53" s="2" t="str">
        <x:v>возвращён</x:v>
      </x:c>
      <x:c r="J53" s="8" t="n">
        <x:f>IF(I53="оплачен",E53*F53-G53,0)</x:f>
        <x:v>0</x:v>
      </x:c>
      <x:c r="K53" s="8" t="n">
        <x:f>IF(I53="оплачен",E53*H53,0)</x:f>
        <x:v>0</x:v>
      </x:c>
      <x:c r="L53" s="8" t="n">
        <x:f>J53-K53</x:f>
        <x:v>0</x:v>
      </x:c>
      <x:c r="M53" s="2" t="str">
        <x:f>TEXT(B53,"yyyy-mm")</x:f>
        <x:v>2026-07</x:v>
      </x:c>
      <x:c r="N53" s="2"/>
      <x:c r="O53" s="2"/>
      <x:c r="P53" s="2"/>
    </x:row>
    <x:row r="54" ht="26" customHeight="1">
      <x:c r="A54" s="2" t="str">
        <x:v>O053</x:v>
      </x:c>
      <x:c r="B54" s="7" t="d">
        <x:v>2026-07-25T00:00:00.000Z</x:v>
      </x:c>
      <x:c r="C54" s="2" t="str">
        <x:v>Рюкзак</x:v>
      </x:c>
      <x:c r="D54" s="2" t="str">
        <x:v>Сайт</x:v>
      </x:c>
      <x:c r="E54" s="29" t="n">
        <x:v>3</x:v>
      </x:c>
      <x:c r="F54" s="8" t="n">
        <x:v>3600</x:v>
      </x:c>
      <x:c r="G54" s="8" t="n">
        <x:v>324</x:v>
      </x:c>
      <x:c r="H54" s="8" t="n">
        <x:v>1900</x:v>
      </x:c>
      <x:c r="I54" s="2" t="str">
        <x:v>отменён</x:v>
      </x:c>
      <x:c r="J54" s="8" t="n">
        <x:f>IF(I54="оплачен",E54*F54-G54,0)</x:f>
        <x:v>0</x:v>
      </x:c>
      <x:c r="K54" s="8" t="n">
        <x:f>IF(I54="оплачен",E54*H54,0)</x:f>
        <x:v>0</x:v>
      </x:c>
      <x:c r="L54" s="8" t="n">
        <x:f>J54-K54</x:f>
        <x:v>0</x:v>
      </x:c>
      <x:c r="M54" s="2" t="str">
        <x:f>TEXT(B54,"yyyy-mm")</x:f>
        <x:v>2026-07</x:v>
      </x:c>
      <x:c r="N54" s="2"/>
      <x:c r="O54" s="2"/>
      <x:c r="P54" s="2"/>
    </x:row>
    <x:row r="55" ht="26" customHeight="1">
      <x:c r="A55" s="2" t="str">
        <x:v>O054</x:v>
      </x:c>
      <x:c r="B55" s="7" t="d">
        <x:v>2026-07-26T00:00:00.000Z</x:v>
      </x:c>
      <x:c r="C55" s="2" t="str">
        <x:v>Настольная лампа</x:v>
      </x:c>
      <x:c r="D55" s="2" t="str">
        <x:v>Соцсети</x:v>
      </x:c>
      <x:c r="E55" s="29" t="n">
        <x:v>2</x:v>
      </x:c>
      <x:c r="F55" s="8" t="n">
        <x:v>2900</x:v>
      </x:c>
      <x:c r="G55" s="8" t="n">
        <x:v>174</x:v>
      </x:c>
      <x:c r="H55" s="8" t="n">
        <x:v>1700</x:v>
      </x:c>
      <x:c r="I55" s="2" t="str">
        <x:v>оплачен</x:v>
      </x:c>
      <x:c r="J55" s="8" t="n">
        <x:f>IF(I55="оплачен",E55*F55-G55,0)</x:f>
        <x:v>5626</x:v>
      </x:c>
      <x:c r="K55" s="8" t="n">
        <x:f>IF(I55="оплачен",E55*H55,0)</x:f>
        <x:v>3400</x:v>
      </x:c>
      <x:c r="L55" s="8" t="n">
        <x:f>J55-K55</x:f>
        <x:v>2226</x:v>
      </x:c>
      <x:c r="M55" s="2" t="str">
        <x:f>TEXT(B55,"yyyy-mm")</x:f>
        <x:v>2026-07</x:v>
      </x:c>
      <x:c r="N55" s="2"/>
      <x:c r="O55" s="2"/>
      <x:c r="P55" s="2"/>
    </x:row>
    <x:row r="56" ht="26" customHeight="1">
      <x:c r="A56" s="2" t="str">
        <x:v>O055</x:v>
      </x:c>
      <x:c r="B56" s="7" t="d">
        <x:v>2026-07-27T00:00:00.000Z</x:v>
      </x:c>
      <x:c r="C56" s="2" t="str">
        <x:v>Планер</x:v>
      </x:c>
      <x:c r="D56" s="2" t="str">
        <x:v>Соцсети</x:v>
      </x:c>
      <x:c r="E56" s="29" t="n">
        <x:v>2</x:v>
      </x:c>
      <x:c r="F56" s="8" t="n">
        <x:v>800</x:v>
      </x:c>
      <x:c r="G56" s="8" t="n">
        <x:v>48</x:v>
      </x:c>
      <x:c r="H56" s="8" t="n">
        <x:v>280</x:v>
      </x:c>
      <x:c r="I56" s="2" t="str">
        <x:v>оплачен</x:v>
      </x:c>
      <x:c r="J56" s="8" t="n">
        <x:f>IF(I56="оплачен",E56*F56-G56,0)</x:f>
        <x:v>1552</x:v>
      </x:c>
      <x:c r="K56" s="8" t="n">
        <x:f>IF(I56="оплачен",E56*H56,0)</x:f>
        <x:v>560</x:v>
      </x:c>
      <x:c r="L56" s="8" t="n">
        <x:f>J56-K56</x:f>
        <x:v>992</x:v>
      </x:c>
      <x:c r="M56" s="2" t="str">
        <x:f>TEXT(B56,"yyyy-mm")</x:f>
        <x:v>2026-07</x:v>
      </x:c>
      <x:c r="N56" s="2"/>
      <x:c r="O56" s="2"/>
      <x:c r="P56" s="2"/>
    </x:row>
    <x:row r="57" ht="26" customHeight="1">
      <x:c r="A57" s="2" t="str">
        <x:v>O056</x:v>
      </x:c>
      <x:c r="B57" s="7" t="d">
        <x:v>2026-07-28T00:00:00.000Z</x:v>
      </x:c>
      <x:c r="C57" s="2" t="str">
        <x:v>Термокружка</x:v>
      </x:c>
      <x:c r="D57" s="2" t="str">
        <x:v>Маркетплейс</x:v>
      </x:c>
      <x:c r="E57" s="29" t="n">
        <x:v>4</x:v>
      </x:c>
      <x:c r="F57" s="8" t="n">
        <x:v>1600</x:v>
      </x:c>
      <x:c r="G57" s="8" t="n">
        <x:v>768</x:v>
      </x:c>
      <x:c r="H57" s="8" t="n">
        <x:v>650</x:v>
      </x:c>
      <x:c r="I57" s="2" t="str">
        <x:v>оплачен</x:v>
      </x:c>
      <x:c r="J57" s="8" t="n">
        <x:f>IF(I57="оплачен",E57*F57-G57,0)</x:f>
        <x:v>5632</x:v>
      </x:c>
      <x:c r="K57" s="8" t="n">
        <x:f>IF(I57="оплачен",E57*H57,0)</x:f>
        <x:v>2600</x:v>
      </x:c>
      <x:c r="L57" s="8" t="n">
        <x:f>J57-K57</x:f>
        <x:v>3032</x:v>
      </x:c>
      <x:c r="M57" s="2" t="str">
        <x:f>TEXT(B57,"yyyy-mm")</x:f>
        <x:v>2026-07</x:v>
      </x:c>
      <x:c r="N57" s="2"/>
      <x:c r="O57" s="2"/>
      <x:c r="P57" s="2"/>
    </x:row>
    <x:row r="58" ht="26" customHeight="1">
      <x:c r="A58" s="2" t="str">
        <x:v>O057</x:v>
      </x:c>
      <x:c r="B58" s="7" t="d">
        <x:v>2026-07-01T00:00:00.000Z</x:v>
      </x:c>
      <x:c r="C58" s="2" t="str">
        <x:v>Рюкзак</x:v>
      </x:c>
      <x:c r="D58" s="2" t="str">
        <x:v>Сайт</x:v>
      </x:c>
      <x:c r="E58" s="29" t="n">
        <x:v>4</x:v>
      </x:c>
      <x:c r="F58" s="8" t="n">
        <x:v>3600</x:v>
      </x:c>
      <x:c r="G58" s="8" t="n">
        <x:v>432</x:v>
      </x:c>
      <x:c r="H58" s="8" t="n">
        <x:v>1900</x:v>
      </x:c>
      <x:c r="I58" s="2" t="str">
        <x:v>оплачен</x:v>
      </x:c>
      <x:c r="J58" s="8" t="n">
        <x:f>IF(I58="оплачен",E58*F58-G58,0)</x:f>
        <x:v>13968</x:v>
      </x:c>
      <x:c r="K58" s="8" t="n">
        <x:f>IF(I58="оплачен",E58*H58,0)</x:f>
        <x:v>7600</x:v>
      </x:c>
      <x:c r="L58" s="8" t="n">
        <x:f>J58-K58</x:f>
        <x:v>6368</x:v>
      </x:c>
      <x:c r="M58" s="2" t="str">
        <x:f>TEXT(B58,"yyyy-mm")</x:f>
        <x:v>2026-07</x:v>
      </x:c>
      <x:c r="N58" s="2"/>
      <x:c r="O58" s="2"/>
      <x:c r="P58" s="2"/>
    </x:row>
    <x:row r="59" ht="26" customHeight="1">
      <x:c r="A59" s="2" t="str">
        <x:v>O058</x:v>
      </x:c>
      <x:c r="B59" s="7" t="d">
        <x:v>2026-07-02T00:00:00.000Z</x:v>
      </x:c>
      <x:c r="C59" s="2" t="str">
        <x:v>Планер</x:v>
      </x:c>
      <x:c r="D59" s="2" t="str">
        <x:v>Маркетплейс</x:v>
      </x:c>
      <x:c r="E59" s="29" t="n">
        <x:v>1</x:v>
      </x:c>
      <x:c r="F59" s="8" t="n">
        <x:v>800</x:v>
      </x:c>
      <x:c r="G59" s="8" t="n">
        <x:v>96</x:v>
      </x:c>
      <x:c r="H59" s="8" t="n">
        <x:v>280</x:v>
      </x:c>
      <x:c r="I59" s="2" t="str">
        <x:v>оплачен</x:v>
      </x:c>
      <x:c r="J59" s="8" t="n">
        <x:f>IF(I59="оплачен",E59*F59-G59,0)</x:f>
        <x:v>704</x:v>
      </x:c>
      <x:c r="K59" s="8" t="n">
        <x:f>IF(I59="оплачен",E59*H59,0)</x:f>
        <x:v>280</x:v>
      </x:c>
      <x:c r="L59" s="8" t="n">
        <x:f>J59-K59</x:f>
        <x:v>424</x:v>
      </x:c>
      <x:c r="M59" s="2" t="str">
        <x:f>TEXT(B59,"yyyy-mm")</x:f>
        <x:v>2026-07</x:v>
      </x:c>
      <x:c r="N59" s="2"/>
      <x:c r="O59" s="2"/>
      <x:c r="P59" s="2"/>
    </x:row>
    <x:row r="60" ht="26" customHeight="1">
      <x:c r="A60" s="2" t="str">
        <x:v>O059</x:v>
      </x:c>
      <x:c r="B60" s="7" t="d">
        <x:v>2026-07-03T00:00:00.000Z</x:v>
      </x:c>
      <x:c r="C60" s="2" t="str">
        <x:v>Настольная лампа</x:v>
      </x:c>
      <x:c r="D60" s="2" t="str">
        <x:v>Маркетплейс</x:v>
      </x:c>
      <x:c r="E60" s="29" t="n">
        <x:v>2</x:v>
      </x:c>
      <x:c r="F60" s="8" t="n">
        <x:v>2900</x:v>
      </x:c>
      <x:c r="G60" s="8" t="n">
        <x:v>696</x:v>
      </x:c>
      <x:c r="H60" s="8" t="n">
        <x:v>1700</x:v>
      </x:c>
      <x:c r="I60" s="2" t="str">
        <x:v>оплачен</x:v>
      </x:c>
      <x:c r="J60" s="8" t="n">
        <x:f>IF(I60="оплачен",E60*F60-G60,0)</x:f>
        <x:v>5104</x:v>
      </x:c>
      <x:c r="K60" s="8" t="n">
        <x:f>IF(I60="оплачен",E60*H60,0)</x:f>
        <x:v>3400</x:v>
      </x:c>
      <x:c r="L60" s="8" t="n">
        <x:f>J60-K60</x:f>
        <x:v>1704</x:v>
      </x:c>
      <x:c r="M60" s="2" t="str">
        <x:f>TEXT(B60,"yyyy-mm")</x:f>
        <x:v>2026-07</x:v>
      </x:c>
      <x:c r="N60" s="2"/>
      <x:c r="O60" s="2"/>
      <x:c r="P60" s="2"/>
    </x:row>
    <x:row r="61" ht="26" customHeight="1">
      <x:c r="A61" s="2" t="str">
        <x:v>O060</x:v>
      </x:c>
      <x:c r="B61" s="7" t="d">
        <x:v>2026-07-04T00:00:00.000Z</x:v>
      </x:c>
      <x:c r="C61" s="2" t="str">
        <x:v>Термокружка</x:v>
      </x:c>
      <x:c r="D61" s="2" t="str">
        <x:v>Маркетплейс</x:v>
      </x:c>
      <x:c r="E61" s="29" t="n">
        <x:v>1</x:v>
      </x:c>
      <x:c r="F61" s="8" t="n">
        <x:v>1600</x:v>
      </x:c>
      <x:c r="G61" s="8" t="n">
        <x:v>192</x:v>
      </x:c>
      <x:c r="H61" s="8" t="n">
        <x:v>650</x:v>
      </x:c>
      <x:c r="I61" s="2" t="str">
        <x:v>оплачен</x:v>
      </x:c>
      <x:c r="J61" s="8" t="n">
        <x:f>IF(I61="оплачен",E61*F61-G61,0)</x:f>
        <x:v>1408</x:v>
      </x:c>
      <x:c r="K61" s="8" t="n">
        <x:f>IF(I61="оплачен",E61*H61,0)</x:f>
        <x:v>650</x:v>
      </x:c>
      <x:c r="L61" s="8" t="n">
        <x:f>J61-K61</x:f>
        <x:v>758</x:v>
      </x:c>
      <x:c r="M61" s="2" t="str">
        <x:f>TEXT(B61,"yyyy-mm")</x:f>
        <x:v>2026-07</x:v>
      </x:c>
      <x:c r="N61" s="2"/>
      <x:c r="O61" s="2"/>
      <x:c r="P61" s="2"/>
    </x:row>
    <x:row r="62" ht="26" customHeight="1">
      <x:c r="A62" s="2" t="str">
        <x:v>O061</x:v>
      </x:c>
      <x:c r="B62" s="7" t="d">
        <x:v>2026-07-05T00:00:00.000Z</x:v>
      </x:c>
      <x:c r="C62" s="2" t="str">
        <x:v>Рюкзак</x:v>
      </x:c>
      <x:c r="D62" s="2" t="str">
        <x:v>Маркетплейс</x:v>
      </x:c>
      <x:c r="E62" s="29" t="n">
        <x:v>2</x:v>
      </x:c>
      <x:c r="F62" s="8" t="n">
        <x:v>3600</x:v>
      </x:c>
      <x:c r="G62" s="8" t="n">
        <x:v>864</x:v>
      </x:c>
      <x:c r="H62" s="8" t="n">
        <x:v>1900</x:v>
      </x:c>
      <x:c r="I62" s="2" t="str">
        <x:v>оплачен</x:v>
      </x:c>
      <x:c r="J62" s="8" t="n">
        <x:f>IF(I62="оплачен",E62*F62-G62,0)</x:f>
        <x:v>6336</x:v>
      </x:c>
      <x:c r="K62" s="8" t="n">
        <x:f>IF(I62="оплачен",E62*H62,0)</x:f>
        <x:v>3800</x:v>
      </x:c>
      <x:c r="L62" s="8" t="n">
        <x:f>J62-K62</x:f>
        <x:v>2536</x:v>
      </x:c>
      <x:c r="M62" s="2" t="str">
        <x:f>TEXT(B62,"yyyy-mm")</x:f>
        <x:v>2026-07</x:v>
      </x:c>
      <x:c r="N62" s="2"/>
      <x:c r="O62" s="2"/>
      <x:c r="P62" s="2"/>
    </x:row>
    <x:row r="63" ht="26" customHeight="1">
      <x:c r="A63" s="2" t="str">
        <x:v>O062</x:v>
      </x:c>
      <x:c r="B63" s="7" t="d">
        <x:v>2026-07-06T00:00:00.000Z</x:v>
      </x:c>
      <x:c r="C63" s="2" t="str">
        <x:v>Термокружка</x:v>
      </x:c>
      <x:c r="D63" s="2" t="str">
        <x:v>Соцсети</x:v>
      </x:c>
      <x:c r="E63" s="29" t="n">
        <x:v>3</x:v>
      </x:c>
      <x:c r="F63" s="8" t="n">
        <x:v>1600</x:v>
      </x:c>
      <x:c r="G63" s="8" t="n">
        <x:v>144</x:v>
      </x:c>
      <x:c r="H63" s="8" t="n">
        <x:v>650</x:v>
      </x:c>
      <x:c r="I63" s="2" t="str">
        <x:v>оплачен</x:v>
      </x:c>
      <x:c r="J63" s="8" t="n">
        <x:f>IF(I63="оплачен",E63*F63-G63,0)</x:f>
        <x:v>4656</x:v>
      </x:c>
      <x:c r="K63" s="8" t="n">
        <x:f>IF(I63="оплачен",E63*H63,0)</x:f>
        <x:v>1950</x:v>
      </x:c>
      <x:c r="L63" s="8" t="n">
        <x:f>J63-K63</x:f>
        <x:v>2706</x:v>
      </x:c>
      <x:c r="M63" s="2" t="str">
        <x:f>TEXT(B63,"yyyy-mm")</x:f>
        <x:v>2026-07</x:v>
      </x:c>
      <x:c r="N63" s="2"/>
      <x:c r="O63" s="2"/>
      <x:c r="P63" s="2"/>
    </x:row>
    <x:row r="64" ht="26" customHeight="1">
      <x:c r="A64" s="2" t="str">
        <x:v>O063</x:v>
      </x:c>
      <x:c r="B64" s="7" t="d">
        <x:v>2026-07-07T00:00:00.000Z</x:v>
      </x:c>
      <x:c r="C64" s="2" t="str">
        <x:v>Настольная лампа</x:v>
      </x:c>
      <x:c r="D64" s="2" t="str">
        <x:v>Маркетплейс</x:v>
      </x:c>
      <x:c r="E64" s="29" t="n">
        <x:v>1</x:v>
      </x:c>
      <x:c r="F64" s="8" t="n">
        <x:v>2900</x:v>
      </x:c>
      <x:c r="G64" s="8" t="n">
        <x:v>348</x:v>
      </x:c>
      <x:c r="H64" s="8" t="n">
        <x:v>1700</x:v>
      </x:c>
      <x:c r="I64" s="2" t="str">
        <x:v>оплачен</x:v>
      </x:c>
      <x:c r="J64" s="8" t="n">
        <x:f>IF(I64="оплачен",E64*F64-G64,0)</x:f>
        <x:v>2552</x:v>
      </x:c>
      <x:c r="K64" s="8" t="n">
        <x:f>IF(I64="оплачен",E64*H64,0)</x:f>
        <x:v>1700</x:v>
      </x:c>
      <x:c r="L64" s="8" t="n">
        <x:f>J64-K64</x:f>
        <x:v>852</x:v>
      </x:c>
      <x:c r="M64" s="2" t="str">
        <x:f>TEXT(B64,"yyyy-mm")</x:f>
        <x:v>2026-07</x:v>
      </x:c>
      <x:c r="N64" s="2"/>
      <x:c r="O64" s="2"/>
      <x:c r="P64" s="2"/>
    </x:row>
    <x:row r="65" ht="26" customHeight="1">
      <x:c r="A65" s="2" t="str">
        <x:v>O064</x:v>
      </x:c>
      <x:c r="B65" s="7" t="d">
        <x:v>2026-07-08T00:00:00.000Z</x:v>
      </x:c>
      <x:c r="C65" s="2" t="str">
        <x:v>Настольная лампа</x:v>
      </x:c>
      <x:c r="D65" s="2" t="str">
        <x:v>Сайт</x:v>
      </x:c>
      <x:c r="E65" s="29" t="n">
        <x:v>2</x:v>
      </x:c>
      <x:c r="F65" s="8" t="n">
        <x:v>2900</x:v>
      </x:c>
      <x:c r="G65" s="8" t="n">
        <x:v>174</x:v>
      </x:c>
      <x:c r="H65" s="8" t="n">
        <x:v>1700</x:v>
      </x:c>
      <x:c r="I65" s="2" t="str">
        <x:v>оплачен</x:v>
      </x:c>
      <x:c r="J65" s="8" t="n">
        <x:f>IF(I65="оплачен",E65*F65-G65,0)</x:f>
        <x:v>5626</x:v>
      </x:c>
      <x:c r="K65" s="8" t="n">
        <x:f>IF(I65="оплачен",E65*H65,0)</x:f>
        <x:v>3400</x:v>
      </x:c>
      <x:c r="L65" s="8" t="n">
        <x:f>J65-K65</x:f>
        <x:v>2226</x:v>
      </x:c>
      <x:c r="M65" s="2" t="str">
        <x:f>TEXT(B65,"yyyy-mm")</x:f>
        <x:v>2026-07</x:v>
      </x:c>
      <x:c r="N65" s="2"/>
      <x:c r="O65" s="2"/>
      <x:c r="P65" s="2"/>
    </x:row>
    <x:row r="66" ht="26" customHeight="1">
      <x:c r="A66" s="2" t="str">
        <x:v>O065</x:v>
      </x:c>
      <x:c r="B66" s="7" t="d">
        <x:v>2026-07-09T00:00:00.000Z</x:v>
      </x:c>
      <x:c r="C66" s="2" t="str">
        <x:v>Планер</x:v>
      </x:c>
      <x:c r="D66" s="2" t="str">
        <x:v>Маркетплейс</x:v>
      </x:c>
      <x:c r="E66" s="29" t="n">
        <x:v>4</x:v>
      </x:c>
      <x:c r="F66" s="8" t="n">
        <x:v>800</x:v>
      </x:c>
      <x:c r="G66" s="8" t="n">
        <x:v>384</x:v>
      </x:c>
      <x:c r="H66" s="8" t="n">
        <x:v>280</x:v>
      </x:c>
      <x:c r="I66" s="2" t="str">
        <x:v>оплачен</x:v>
      </x:c>
      <x:c r="J66" s="8" t="n">
        <x:f>IF(I66="оплачен",E66*F66-G66,0)</x:f>
        <x:v>2816</x:v>
      </x:c>
      <x:c r="K66" s="8" t="n">
        <x:f>IF(I66="оплачен",E66*H66,0)</x:f>
        <x:v>1120</x:v>
      </x:c>
      <x:c r="L66" s="8" t="n">
        <x:f>J66-K66</x:f>
        <x:v>1696</x:v>
      </x:c>
      <x:c r="M66" s="2" t="str">
        <x:f>TEXT(B66,"yyyy-mm")</x:f>
        <x:v>2026-07</x:v>
      </x:c>
      <x:c r="N66" s="2"/>
      <x:c r="O66" s="2"/>
      <x:c r="P66" s="2"/>
    </x:row>
    <x:row r="67" ht="26" customHeight="1">
      <x:c r="A67" s="2" t="str">
        <x:v>O066</x:v>
      </x:c>
      <x:c r="B67" s="7" t="d">
        <x:v>2026-07-10T00:00:00.000Z</x:v>
      </x:c>
      <x:c r="C67" s="2" t="str">
        <x:v>Настольная лампа</x:v>
      </x:c>
      <x:c r="D67" s="2" t="str">
        <x:v>Маркетплейс</x:v>
      </x:c>
      <x:c r="E67" s="29" t="n">
        <x:v>4</x:v>
      </x:c>
      <x:c r="F67" s="8" t="n">
        <x:v>2900</x:v>
      </x:c>
      <x:c r="G67" s="8" t="n">
        <x:v>1392</x:v>
      </x:c>
      <x:c r="H67" s="8" t="n">
        <x:v>1700</x:v>
      </x:c>
      <x:c r="I67" s="2" t="str">
        <x:v>отменён</x:v>
      </x:c>
      <x:c r="J67" s="8" t="n">
        <x:f>IF(I67="оплачен",E67*F67-G67,0)</x:f>
        <x:v>0</x:v>
      </x:c>
      <x:c r="K67" s="8" t="n">
        <x:f>IF(I67="оплачен",E67*H67,0)</x:f>
        <x:v>0</x:v>
      </x:c>
      <x:c r="L67" s="8" t="n">
        <x:f>J67-K67</x:f>
        <x:v>0</x:v>
      </x:c>
      <x:c r="M67" s="2" t="str">
        <x:f>TEXT(B67,"yyyy-mm")</x:f>
        <x:v>2026-07</x:v>
      </x:c>
      <x:c r="N67" s="2"/>
      <x:c r="O67" s="2"/>
      <x:c r="P67" s="2"/>
    </x:row>
    <x:row r="68" ht="26" customHeight="1">
      <x:c r="A68" s="2" t="str">
        <x:v>O067</x:v>
      </x:c>
      <x:c r="B68" s="7" t="d">
        <x:v>2026-07-11T00:00:00.000Z</x:v>
      </x:c>
      <x:c r="C68" s="2" t="str">
        <x:v>Термокружка</x:v>
      </x:c>
      <x:c r="D68" s="2" t="str">
        <x:v>Маркетплейс</x:v>
      </x:c>
      <x:c r="E68" s="29" t="n">
        <x:v>1</x:v>
      </x:c>
      <x:c r="F68" s="8" t="n">
        <x:v>1600</x:v>
      </x:c>
      <x:c r="G68" s="8" t="n">
        <x:v>192</x:v>
      </x:c>
      <x:c r="H68" s="8" t="n">
        <x:v>650</x:v>
      </x:c>
      <x:c r="I68" s="2" t="str">
        <x:v>оплачен</x:v>
      </x:c>
      <x:c r="J68" s="8" t="n">
        <x:f>IF(I68="оплачен",E68*F68-G68,0)</x:f>
        <x:v>1408</x:v>
      </x:c>
      <x:c r="K68" s="8" t="n">
        <x:f>IF(I68="оплачен",E68*H68,0)</x:f>
        <x:v>650</x:v>
      </x:c>
      <x:c r="L68" s="8" t="n">
        <x:f>J68-K68</x:f>
        <x:v>758</x:v>
      </x:c>
      <x:c r="M68" s="2" t="str">
        <x:f>TEXT(B68,"yyyy-mm")</x:f>
        <x:v>2026-07</x:v>
      </x:c>
      <x:c r="N68" s="2"/>
      <x:c r="O68" s="2"/>
      <x:c r="P68" s="2"/>
    </x:row>
    <x:row r="69" ht="26" customHeight="1">
      <x:c r="A69" s="2" t="str">
        <x:v>O068</x:v>
      </x:c>
      <x:c r="B69" s="7" t="d">
        <x:v>2026-07-12T00:00:00.000Z</x:v>
      </x:c>
      <x:c r="C69" s="2" t="str">
        <x:v>Термокружка</x:v>
      </x:c>
      <x:c r="D69" s="2" t="str">
        <x:v>Соцсети</x:v>
      </x:c>
      <x:c r="E69" s="29" t="n">
        <x:v>4</x:v>
      </x:c>
      <x:c r="F69" s="8" t="n">
        <x:v>1600</x:v>
      </x:c>
      <x:c r="G69" s="8" t="n">
        <x:v>192</x:v>
      </x:c>
      <x:c r="H69" s="8" t="n">
        <x:v>650</x:v>
      </x:c>
      <x:c r="I69" s="2" t="str">
        <x:v>оплачен</x:v>
      </x:c>
      <x:c r="J69" s="8" t="n">
        <x:f>IF(I69="оплачен",E69*F69-G69,0)</x:f>
        <x:v>6208</x:v>
      </x:c>
      <x:c r="K69" s="8" t="n">
        <x:f>IF(I69="оплачен",E69*H69,0)</x:f>
        <x:v>2600</x:v>
      </x:c>
      <x:c r="L69" s="8" t="n">
        <x:f>J69-K69</x:f>
        <x:v>3608</x:v>
      </x:c>
      <x:c r="M69" s="2" t="str">
        <x:f>TEXT(B69,"yyyy-mm")</x:f>
        <x:v>2026-07</x:v>
      </x:c>
      <x:c r="N69" s="2"/>
      <x:c r="O69" s="2"/>
      <x:c r="P69" s="2"/>
    </x:row>
    <x:row r="70" ht="26" customHeight="1">
      <x:c r="A70" s="2" t="str">
        <x:v>O069</x:v>
      </x:c>
      <x:c r="B70" s="7" t="d">
        <x:v>2026-07-13T00:00:00.000Z</x:v>
      </x:c>
      <x:c r="C70" s="2" t="str">
        <x:v>Настольная лампа</x:v>
      </x:c>
      <x:c r="D70" s="2" t="str">
        <x:v>Соцсети</x:v>
      </x:c>
      <x:c r="E70" s="29" t="n">
        <x:v>1</x:v>
      </x:c>
      <x:c r="F70" s="8" t="n">
        <x:v>2900</x:v>
      </x:c>
      <x:c r="G70" s="8" t="n">
        <x:v>87</x:v>
      </x:c>
      <x:c r="H70" s="8" t="n">
        <x:v>1700</x:v>
      </x:c>
      <x:c r="I70" s="2" t="str">
        <x:v>возвращён</x:v>
      </x:c>
      <x:c r="J70" s="8" t="n">
        <x:f>IF(I70="оплачен",E70*F70-G70,0)</x:f>
        <x:v>0</x:v>
      </x:c>
      <x:c r="K70" s="8" t="n">
        <x:f>IF(I70="оплачен",E70*H70,0)</x:f>
        <x:v>0</x:v>
      </x:c>
      <x:c r="L70" s="8" t="n">
        <x:f>J70-K70</x:f>
        <x:v>0</x:v>
      </x:c>
      <x:c r="M70" s="2" t="str">
        <x:f>TEXT(B70,"yyyy-mm")</x:f>
        <x:v>2026-07</x:v>
      </x:c>
      <x:c r="N70" s="2"/>
      <x:c r="O70" s="2"/>
      <x:c r="P70" s="2"/>
    </x:row>
    <x:row r="71" ht="26" customHeight="1">
      <x:c r="A71" s="2" t="str">
        <x:v>O070</x:v>
      </x:c>
      <x:c r="B71" s="7" t="d">
        <x:v>2026-07-14T00:00:00.000Z</x:v>
      </x:c>
      <x:c r="C71" s="2" t="str">
        <x:v>Настольная лампа</x:v>
      </x:c>
      <x:c r="D71" s="2" t="str">
        <x:v>Соцсети</x:v>
      </x:c>
      <x:c r="E71" s="29" t="n">
        <x:v>4</x:v>
      </x:c>
      <x:c r="F71" s="8" t="n">
        <x:v>2900</x:v>
      </x:c>
      <x:c r="G71" s="8" t="n">
        <x:v>348</x:v>
      </x:c>
      <x:c r="H71" s="8" t="n">
        <x:v>1700</x:v>
      </x:c>
      <x:c r="I71" s="2" t="str">
        <x:v>оплачен</x:v>
      </x:c>
      <x:c r="J71" s="8" t="n">
        <x:f>IF(I71="оплачен",E71*F71-G71,0)</x:f>
        <x:v>11252</x:v>
      </x:c>
      <x:c r="K71" s="8" t="n">
        <x:f>IF(I71="оплачен",E71*H71,0)</x:f>
        <x:v>6800</x:v>
      </x:c>
      <x:c r="L71" s="8" t="n">
        <x:f>J71-K71</x:f>
        <x:v>4452</x:v>
      </x:c>
      <x:c r="M71" s="2" t="str">
        <x:f>TEXT(B71,"yyyy-mm")</x:f>
        <x:v>2026-07</x:v>
      </x:c>
      <x:c r="N71" s="2"/>
      <x:c r="O71" s="2"/>
      <x:c r="P71" s="2"/>
    </x:row>
    <x:row r="72" ht="26" customHeight="1">
      <x:c r="A72" s="2" t="str">
        <x:v>O071</x:v>
      </x:c>
      <x:c r="B72" s="7" t="d">
        <x:v>2026-07-15T00:00:00.000Z</x:v>
      </x:c>
      <x:c r="C72" s="2" t="str">
        <x:v>Термокружка</x:v>
      </x:c>
      <x:c r="D72" s="2" t="str">
        <x:v>Соцсети</x:v>
      </x:c>
      <x:c r="E72" s="29" t="n">
        <x:v>1</x:v>
      </x:c>
      <x:c r="F72" s="8" t="n">
        <x:v>1600</x:v>
      </x:c>
      <x:c r="G72" s="8" t="n">
        <x:v>48</x:v>
      </x:c>
      <x:c r="H72" s="8" t="n">
        <x:v>650</x:v>
      </x:c>
      <x:c r="I72" s="2" t="str">
        <x:v>оплачен</x:v>
      </x:c>
      <x:c r="J72" s="8" t="n">
        <x:f>IF(I72="оплачен",E72*F72-G72,0)</x:f>
        <x:v>1552</x:v>
      </x:c>
      <x:c r="K72" s="8" t="n">
        <x:f>IF(I72="оплачен",E72*H72,0)</x:f>
        <x:v>650</x:v>
      </x:c>
      <x:c r="L72" s="8" t="n">
        <x:f>J72-K72</x:f>
        <x:v>902</x:v>
      </x:c>
      <x:c r="M72" s="2" t="str">
        <x:f>TEXT(B72,"yyyy-mm")</x:f>
        <x:v>2026-07</x:v>
      </x:c>
      <x:c r="N72" s="2"/>
      <x:c r="O72" s="2"/>
      <x:c r="P72" s="2"/>
    </x:row>
    <x:row r="73" ht="26" customHeight="1">
      <x:c r="A73" s="2" t="str">
        <x:v>O072</x:v>
      </x:c>
      <x:c r="B73" s="7" t="d">
        <x:v>2026-07-16T00:00:00.000Z</x:v>
      </x:c>
      <x:c r="C73" s="2" t="str">
        <x:v>Настольная лампа</x:v>
      </x:c>
      <x:c r="D73" s="2" t="str">
        <x:v>Сайт</x:v>
      </x:c>
      <x:c r="E73" s="29" t="n">
        <x:v>1</x:v>
      </x:c>
      <x:c r="F73" s="8" t="n">
        <x:v>2900</x:v>
      </x:c>
      <x:c r="G73" s="8" t="n">
        <x:v>87</x:v>
      </x:c>
      <x:c r="H73" s="8" t="n">
        <x:v>1700</x:v>
      </x:c>
      <x:c r="I73" s="2" t="str">
        <x:v>оплачен</x:v>
      </x:c>
      <x:c r="J73" s="8" t="n">
        <x:f>IF(I73="оплачен",E73*F73-G73,0)</x:f>
        <x:v>2813</x:v>
      </x:c>
      <x:c r="K73" s="8" t="n">
        <x:f>IF(I73="оплачен",E73*H73,0)</x:f>
        <x:v>1700</x:v>
      </x:c>
      <x:c r="L73" s="8" t="n">
        <x:f>J73-K73</x:f>
        <x:v>1113</x:v>
      </x:c>
      <x:c r="M73" s="2" t="str">
        <x:f>TEXT(B73,"yyyy-mm")</x:f>
        <x:v>2026-07</x:v>
      </x:c>
      <x:c r="N73" s="2"/>
      <x:c r="O73" s="2"/>
      <x:c r="P73" s="2"/>
    </x:row>
    <x:row r="74" ht="26" customHeight="1">
      <x:c r="A74" s="2" t="str">
        <x:v>O073</x:v>
      </x:c>
      <x:c r="B74" s="7" t="d">
        <x:v>2026-07-17T00:00:00.000Z</x:v>
      </x:c>
      <x:c r="C74" s="2" t="str">
        <x:v>Термокружка</x:v>
      </x:c>
      <x:c r="D74" s="2" t="str">
        <x:v>Соцсети</x:v>
      </x:c>
      <x:c r="E74" s="29" t="n">
        <x:v>3</x:v>
      </x:c>
      <x:c r="F74" s="8" t="n">
        <x:v>1600</x:v>
      </x:c>
      <x:c r="G74" s="8" t="n">
        <x:v>144</x:v>
      </x:c>
      <x:c r="H74" s="8" t="n">
        <x:v>650</x:v>
      </x:c>
      <x:c r="I74" s="2" t="str">
        <x:v>оплачен</x:v>
      </x:c>
      <x:c r="J74" s="8" t="n">
        <x:f>IF(I74="оплачен",E74*F74-G74,0)</x:f>
        <x:v>4656</x:v>
      </x:c>
      <x:c r="K74" s="8" t="n">
        <x:f>IF(I74="оплачен",E74*H74,0)</x:f>
        <x:v>1950</x:v>
      </x:c>
      <x:c r="L74" s="8" t="n">
        <x:f>J74-K74</x:f>
        <x:v>2706</x:v>
      </x:c>
      <x:c r="M74" s="2" t="str">
        <x:f>TEXT(B74,"yyyy-mm")</x:f>
        <x:v>2026-07</x:v>
      </x:c>
      <x:c r="N74" s="2"/>
      <x:c r="O74" s="2"/>
      <x:c r="P74" s="2"/>
    </x:row>
    <x:row r="75" ht="26" customHeight="1">
      <x:c r="A75" s="2" t="str">
        <x:v>O074</x:v>
      </x:c>
      <x:c r="B75" s="7" t="d">
        <x:v>2026-07-18T00:00:00.000Z</x:v>
      </x:c>
      <x:c r="C75" s="2" t="str">
        <x:v>Планер</x:v>
      </x:c>
      <x:c r="D75" s="2" t="str">
        <x:v>Сайт</x:v>
      </x:c>
      <x:c r="E75" s="29" t="n">
        <x:v>4</x:v>
      </x:c>
      <x:c r="F75" s="8" t="n">
        <x:v>800</x:v>
      </x:c>
      <x:c r="G75" s="8" t="n">
        <x:v>96</x:v>
      </x:c>
      <x:c r="H75" s="8" t="n">
        <x:v>280</x:v>
      </x:c>
      <x:c r="I75" s="2" t="str">
        <x:v>оплачен</x:v>
      </x:c>
      <x:c r="J75" s="8" t="n">
        <x:f>IF(I75="оплачен",E75*F75-G75,0)</x:f>
        <x:v>3104</x:v>
      </x:c>
      <x:c r="K75" s="8" t="n">
        <x:f>IF(I75="оплачен",E75*H75,0)</x:f>
        <x:v>1120</x:v>
      </x:c>
      <x:c r="L75" s="8" t="n">
        <x:f>J75-K75</x:f>
        <x:v>1984</x:v>
      </x:c>
      <x:c r="M75" s="2" t="str">
        <x:f>TEXT(B75,"yyyy-mm")</x:f>
        <x:v>2026-07</x:v>
      </x:c>
      <x:c r="N75" s="2"/>
      <x:c r="O75" s="2"/>
      <x:c r="P75" s="2"/>
    </x:row>
    <x:row r="76" ht="26" customHeight="1">
      <x:c r="A76" s="2" t="str">
        <x:v>O075</x:v>
      </x:c>
      <x:c r="B76" s="7" t="d">
        <x:v>2026-07-19T00:00:00.000Z</x:v>
      </x:c>
      <x:c r="C76" s="2" t="str">
        <x:v>Рюкзак</x:v>
      </x:c>
      <x:c r="D76" s="2" t="str">
        <x:v>Маркетплейс</x:v>
      </x:c>
      <x:c r="E76" s="29" t="n">
        <x:v>1</x:v>
      </x:c>
      <x:c r="F76" s="8" t="n">
        <x:v>3600</x:v>
      </x:c>
      <x:c r="G76" s="8" t="n">
        <x:v>432</x:v>
      </x:c>
      <x:c r="H76" s="8" t="n">
        <x:v>1900</x:v>
      </x:c>
      <x:c r="I76" s="2" t="str">
        <x:v>оплачен</x:v>
      </x:c>
      <x:c r="J76" s="8" t="n">
        <x:f>IF(I76="оплачен",E76*F76-G76,0)</x:f>
        <x:v>3168</x:v>
      </x:c>
      <x:c r="K76" s="8" t="n">
        <x:f>IF(I76="оплачен",E76*H76,0)</x:f>
        <x:v>1900</x:v>
      </x:c>
      <x:c r="L76" s="8" t="n">
        <x:f>J76-K76</x:f>
        <x:v>1268</x:v>
      </x:c>
      <x:c r="M76" s="2" t="str">
        <x:f>TEXT(B76,"yyyy-mm")</x:f>
        <x:v>2026-07</x:v>
      </x:c>
      <x:c r="N76" s="2"/>
      <x:c r="O76" s="2"/>
      <x:c r="P76" s="2"/>
    </x:row>
    <x:row r="77" ht="26" customHeight="1">
      <x:c r="A77" s="2" t="str">
        <x:v>O076</x:v>
      </x:c>
      <x:c r="B77" s="7" t="d">
        <x:v>2026-07-20T00:00:00.000Z</x:v>
      </x:c>
      <x:c r="C77" s="2" t="str">
        <x:v>Планер</x:v>
      </x:c>
      <x:c r="D77" s="2" t="str">
        <x:v>Маркетплейс</x:v>
      </x:c>
      <x:c r="E77" s="29" t="n">
        <x:v>4</x:v>
      </x:c>
      <x:c r="F77" s="8" t="n">
        <x:v>800</x:v>
      </x:c>
      <x:c r="G77" s="8" t="n">
        <x:v>384</x:v>
      </x:c>
      <x:c r="H77" s="8" t="n">
        <x:v>280</x:v>
      </x:c>
      <x:c r="I77" s="2" t="str">
        <x:v>оплачен</x:v>
      </x:c>
      <x:c r="J77" s="8" t="n">
        <x:f>IF(I77="оплачен",E77*F77-G77,0)</x:f>
        <x:v>2816</x:v>
      </x:c>
      <x:c r="K77" s="8" t="n">
        <x:f>IF(I77="оплачен",E77*H77,0)</x:f>
        <x:v>1120</x:v>
      </x:c>
      <x:c r="L77" s="8" t="n">
        <x:f>J77-K77</x:f>
        <x:v>1696</x:v>
      </x:c>
      <x:c r="M77" s="2" t="str">
        <x:f>TEXT(B77,"yyyy-mm")</x:f>
        <x:v>2026-07</x:v>
      </x:c>
      <x:c r="N77" s="2"/>
      <x:c r="O77" s="2"/>
      <x:c r="P77" s="2"/>
    </x:row>
    <x:row r="78" ht="26" customHeight="1">
      <x:c r="A78" s="2" t="str">
        <x:v>O077</x:v>
      </x:c>
      <x:c r="B78" s="7" t="d">
        <x:v>2026-07-21T00:00:00.000Z</x:v>
      </x:c>
      <x:c r="C78" s="2" t="str">
        <x:v>Планер</x:v>
      </x:c>
      <x:c r="D78" s="2" t="str">
        <x:v>Сайт</x:v>
      </x:c>
      <x:c r="E78" s="29" t="n">
        <x:v>2</x:v>
      </x:c>
      <x:c r="F78" s="8" t="n">
        <x:v>800</x:v>
      </x:c>
      <x:c r="G78" s="8" t="n">
        <x:v>48</x:v>
      </x:c>
      <x:c r="H78" s="8" t="n">
        <x:v>280</x:v>
      </x:c>
      <x:c r="I78" s="2" t="str">
        <x:v>оплачен</x:v>
      </x:c>
      <x:c r="J78" s="8" t="n">
        <x:f>IF(I78="оплачен",E78*F78-G78,0)</x:f>
        <x:v>1552</x:v>
      </x:c>
      <x:c r="K78" s="8" t="n">
        <x:f>IF(I78="оплачен",E78*H78,0)</x:f>
        <x:v>560</x:v>
      </x:c>
      <x:c r="L78" s="8" t="n">
        <x:f>J78-K78</x:f>
        <x:v>992</x:v>
      </x:c>
      <x:c r="M78" s="2" t="str">
        <x:f>TEXT(B78,"yyyy-mm")</x:f>
        <x:v>2026-07</x:v>
      </x:c>
      <x:c r="N78" s="2"/>
      <x:c r="O78" s="2"/>
      <x:c r="P78" s="2"/>
    </x:row>
    <x:row r="79" ht="26" customHeight="1">
      <x:c r="A79" s="2" t="str">
        <x:v>O078</x:v>
      </x:c>
      <x:c r="B79" s="7" t="d">
        <x:v>2026-07-22T00:00:00.000Z</x:v>
      </x:c>
      <x:c r="C79" s="2" t="str">
        <x:v>Настольная лампа</x:v>
      </x:c>
      <x:c r="D79" s="2" t="str">
        <x:v>Соцсети</x:v>
      </x:c>
      <x:c r="E79" s="29" t="n">
        <x:v>4</x:v>
      </x:c>
      <x:c r="F79" s="8" t="n">
        <x:v>2900</x:v>
      </x:c>
      <x:c r="G79" s="8" t="n">
        <x:v>348</x:v>
      </x:c>
      <x:c r="H79" s="8" t="n">
        <x:v>1700</x:v>
      </x:c>
      <x:c r="I79" s="2" t="str">
        <x:v>оплачен</x:v>
      </x:c>
      <x:c r="J79" s="8" t="n">
        <x:f>IF(I79="оплачен",E79*F79-G79,0)</x:f>
        <x:v>11252</x:v>
      </x:c>
      <x:c r="K79" s="8" t="n">
        <x:f>IF(I79="оплачен",E79*H79,0)</x:f>
        <x:v>6800</x:v>
      </x:c>
      <x:c r="L79" s="8" t="n">
        <x:f>J79-K79</x:f>
        <x:v>4452</x:v>
      </x:c>
      <x:c r="M79" s="2" t="str">
        <x:f>TEXT(B79,"yyyy-mm")</x:f>
        <x:v>2026-07</x:v>
      </x:c>
      <x:c r="N79" s="2"/>
      <x:c r="O79" s="2"/>
      <x:c r="P79" s="2"/>
    </x:row>
    <x:row r="80" ht="26" customHeight="1">
      <x:c r="A80" s="2" t="str">
        <x:v>O079</x:v>
      </x:c>
      <x:c r="B80" s="7" t="d">
        <x:v>2026-07-23T00:00:00.000Z</x:v>
      </x:c>
      <x:c r="C80" s="2" t="str">
        <x:v>Планер</x:v>
      </x:c>
      <x:c r="D80" s="2" t="str">
        <x:v>Маркетплейс</x:v>
      </x:c>
      <x:c r="E80" s="29" t="n">
        <x:v>4</x:v>
      </x:c>
      <x:c r="F80" s="8" t="n">
        <x:v>800</x:v>
      </x:c>
      <x:c r="G80" s="8" t="n">
        <x:v>384</x:v>
      </x:c>
      <x:c r="H80" s="8" t="n">
        <x:v>280</x:v>
      </x:c>
      <x:c r="I80" s="2" t="str">
        <x:v>отменён</x:v>
      </x:c>
      <x:c r="J80" s="8" t="n">
        <x:f>IF(I80="оплачен",E80*F80-G80,0)</x:f>
        <x:v>0</x:v>
      </x:c>
      <x:c r="K80" s="8" t="n">
        <x:f>IF(I80="оплачен",E80*H80,0)</x:f>
        <x:v>0</x:v>
      </x:c>
      <x:c r="L80" s="8" t="n">
        <x:f>J80-K80</x:f>
        <x:v>0</x:v>
      </x:c>
      <x:c r="M80" s="2" t="str">
        <x:f>TEXT(B80,"yyyy-mm")</x:f>
        <x:v>2026-07</x:v>
      </x:c>
      <x:c r="N80" s="2"/>
      <x:c r="O80" s="2"/>
      <x:c r="P80" s="2"/>
    </x:row>
    <x:row r="81" ht="26" customHeight="1">
      <x:c r="A81" s="2" t="str">
        <x:v>O080</x:v>
      </x:c>
      <x:c r="B81" s="7" t="d">
        <x:v>2026-07-24T00:00:00.000Z</x:v>
      </x:c>
      <x:c r="C81" s="2" t="str">
        <x:v>Планер</x:v>
      </x:c>
      <x:c r="D81" s="2" t="str">
        <x:v>Маркетплейс</x:v>
      </x:c>
      <x:c r="E81" s="29" t="n">
        <x:v>1</x:v>
      </x:c>
      <x:c r="F81" s="8" t="n">
        <x:v>800</x:v>
      </x:c>
      <x:c r="G81" s="8" t="n">
        <x:v>96</x:v>
      </x:c>
      <x:c r="H81" s="8" t="n">
        <x:v>280</x:v>
      </x:c>
      <x:c r="I81" s="2" t="str">
        <x:v>оплачен</x:v>
      </x:c>
      <x:c r="J81" s="8" t="n">
        <x:f>IF(I81="оплачен",E81*F81-G81,0)</x:f>
        <x:v>704</x:v>
      </x:c>
      <x:c r="K81" s="8" t="n">
        <x:f>IF(I81="оплачен",E81*H81,0)</x:f>
        <x:v>280</x:v>
      </x:c>
      <x:c r="L81" s="8" t="n">
        <x:f>J81-K81</x:f>
        <x:v>424</x:v>
      </x:c>
      <x:c r="M81" s="2" t="str">
        <x:f>TEXT(B81,"yyyy-mm")</x:f>
        <x:v>2026-07</x:v>
      </x:c>
      <x:c r="N81" s="2"/>
      <x:c r="O81" s="2"/>
      <x:c r="P81" s="2"/>
    </x:row>
    <x:row r="82" ht="26" customHeight="1">
      <x:c r="A82" s="2" t="str">
        <x:v>O081</x:v>
      </x:c>
      <x:c r="B82" s="7" t="d">
        <x:v>2026-08-25T00:00:00.000Z</x:v>
      </x:c>
      <x:c r="C82" s="2" t="str">
        <x:v>Термокружка</x:v>
      </x:c>
      <x:c r="D82" s="2" t="str">
        <x:v>Соцсети</x:v>
      </x:c>
      <x:c r="E82" s="29" t="n">
        <x:v>1</x:v>
      </x:c>
      <x:c r="F82" s="8" t="n">
        <x:v>1600</x:v>
      </x:c>
      <x:c r="G82" s="8" t="n">
        <x:v>48</x:v>
      </x:c>
      <x:c r="H82" s="8" t="n">
        <x:v>650</x:v>
      </x:c>
      <x:c r="I82" s="2" t="str">
        <x:v>оплачен</x:v>
      </x:c>
      <x:c r="J82" s="8" t="n">
        <x:f>IF(I82="оплачен",E82*F82-G82,0)</x:f>
        <x:v>1552</x:v>
      </x:c>
      <x:c r="K82" s="8" t="n">
        <x:f>IF(I82="оплачен",E82*H82,0)</x:f>
        <x:v>650</x:v>
      </x:c>
      <x:c r="L82" s="8" t="n">
        <x:f>J82-K82</x:f>
        <x:v>902</x:v>
      </x:c>
      <x:c r="M82" s="2" t="str">
        <x:f>TEXT(B82,"yyyy-mm")</x:f>
        <x:v>2026-08</x:v>
      </x:c>
      <x:c r="N82" s="2"/>
      <x:c r="O82" s="2"/>
      <x:c r="P82" s="2"/>
    </x:row>
    <x:row r="83" ht="26" customHeight="1">
      <x:c r="A83" s="2" t="str">
        <x:v>O082</x:v>
      </x:c>
      <x:c r="B83" s="7" t="d">
        <x:v>2026-08-26T00:00:00.000Z</x:v>
      </x:c>
      <x:c r="C83" s="2" t="str">
        <x:v>Термокружка</x:v>
      </x:c>
      <x:c r="D83" s="2" t="str">
        <x:v>Маркетплейс</x:v>
      </x:c>
      <x:c r="E83" s="29" t="n">
        <x:v>3</x:v>
      </x:c>
      <x:c r="F83" s="8" t="n">
        <x:v>1600</x:v>
      </x:c>
      <x:c r="G83" s="8" t="n">
        <x:v>576</x:v>
      </x:c>
      <x:c r="H83" s="8" t="n">
        <x:v>650</x:v>
      </x:c>
      <x:c r="I83" s="2" t="str">
        <x:v>оплачен</x:v>
      </x:c>
      <x:c r="J83" s="8" t="n">
        <x:f>IF(I83="оплачен",E83*F83-G83,0)</x:f>
        <x:v>4224</x:v>
      </x:c>
      <x:c r="K83" s="8" t="n">
        <x:f>IF(I83="оплачен",E83*H83,0)</x:f>
        <x:v>1950</x:v>
      </x:c>
      <x:c r="L83" s="8" t="n">
        <x:f>J83-K83</x:f>
        <x:v>2274</x:v>
      </x:c>
      <x:c r="M83" s="2" t="str">
        <x:f>TEXT(B83,"yyyy-mm")</x:f>
        <x:v>2026-08</x:v>
      </x:c>
      <x:c r="N83" s="2"/>
      <x:c r="O83" s="2"/>
      <x:c r="P83" s="2"/>
    </x:row>
    <x:row r="84" ht="26" customHeight="1">
      <x:c r="A84" s="2" t="str">
        <x:v>O083</x:v>
      </x:c>
      <x:c r="B84" s="7" t="d">
        <x:v>2026-08-27T00:00:00.000Z</x:v>
      </x:c>
      <x:c r="C84" s="2" t="str">
        <x:v>Планер</x:v>
      </x:c>
      <x:c r="D84" s="2" t="str">
        <x:v>Сайт</x:v>
      </x:c>
      <x:c r="E84" s="29" t="n">
        <x:v>1</x:v>
      </x:c>
      <x:c r="F84" s="8" t="n">
        <x:v>800</x:v>
      </x:c>
      <x:c r="G84" s="8" t="n">
        <x:v>24</x:v>
      </x:c>
      <x:c r="H84" s="8" t="n">
        <x:v>280</x:v>
      </x:c>
      <x:c r="I84" s="2" t="str">
        <x:v>оплачен</x:v>
      </x:c>
      <x:c r="J84" s="8" t="n">
        <x:f>IF(I84="оплачен",E84*F84-G84,0)</x:f>
        <x:v>776</x:v>
      </x:c>
      <x:c r="K84" s="8" t="n">
        <x:f>IF(I84="оплачен",E84*H84,0)</x:f>
        <x:v>280</x:v>
      </x:c>
      <x:c r="L84" s="8" t="n">
        <x:f>J84-K84</x:f>
        <x:v>496</x:v>
      </x:c>
      <x:c r="M84" s="2" t="str">
        <x:f>TEXT(B84,"yyyy-mm")</x:f>
        <x:v>2026-08</x:v>
      </x:c>
      <x:c r="N84" s="2"/>
      <x:c r="O84" s="2"/>
      <x:c r="P84" s="2"/>
    </x:row>
    <x:row r="85" ht="26" customHeight="1">
      <x:c r="A85" s="2" t="str">
        <x:v>O084</x:v>
      </x:c>
      <x:c r="B85" s="7" t="d">
        <x:v>2026-08-28T00:00:00.000Z</x:v>
      </x:c>
      <x:c r="C85" s="2" t="str">
        <x:v>Планер</x:v>
      </x:c>
      <x:c r="D85" s="2" t="str">
        <x:v>Сайт</x:v>
      </x:c>
      <x:c r="E85" s="29" t="n">
        <x:v>1</x:v>
      </x:c>
      <x:c r="F85" s="8" t="n">
        <x:v>800</x:v>
      </x:c>
      <x:c r="G85" s="8" t="n">
        <x:v>24</x:v>
      </x:c>
      <x:c r="H85" s="8" t="n">
        <x:v>280</x:v>
      </x:c>
      <x:c r="I85" s="2" t="str">
        <x:v>оплачен</x:v>
      </x:c>
      <x:c r="J85" s="8" t="n">
        <x:f>IF(I85="оплачен",E85*F85-G85,0)</x:f>
        <x:v>776</x:v>
      </x:c>
      <x:c r="K85" s="8" t="n">
        <x:f>IF(I85="оплачен",E85*H85,0)</x:f>
        <x:v>280</x:v>
      </x:c>
      <x:c r="L85" s="8" t="n">
        <x:f>J85-K85</x:f>
        <x:v>496</x:v>
      </x:c>
      <x:c r="M85" s="2" t="str">
        <x:f>TEXT(B85,"yyyy-mm")</x:f>
        <x:v>2026-08</x:v>
      </x:c>
      <x:c r="N85" s="2"/>
      <x:c r="O85" s="2"/>
      <x:c r="P85" s="2"/>
    </x:row>
    <x:row r="86" ht="26" customHeight="1">
      <x:c r="A86" s="2" t="str">
        <x:v>O085</x:v>
      </x:c>
      <x:c r="B86" s="7" t="d">
        <x:v>2026-08-01T00:00:00.000Z</x:v>
      </x:c>
      <x:c r="C86" s="2" t="str">
        <x:v>Термокружка</x:v>
      </x:c>
      <x:c r="D86" s="2" t="str">
        <x:v>Маркетплейс</x:v>
      </x:c>
      <x:c r="E86" s="29" t="n">
        <x:v>1</x:v>
      </x:c>
      <x:c r="F86" s="8" t="n">
        <x:v>1600</x:v>
      </x:c>
      <x:c r="G86" s="8" t="n">
        <x:v>192</x:v>
      </x:c>
      <x:c r="H86" s="8" t="n">
        <x:v>650</x:v>
      </x:c>
      <x:c r="I86" s="2" t="str">
        <x:v>оплачен</x:v>
      </x:c>
      <x:c r="J86" s="8" t="n">
        <x:f>IF(I86="оплачен",E86*F86-G86,0)</x:f>
        <x:v>1408</x:v>
      </x:c>
      <x:c r="K86" s="8" t="n">
        <x:f>IF(I86="оплачен",E86*H86,0)</x:f>
        <x:v>650</x:v>
      </x:c>
      <x:c r="L86" s="8" t="n">
        <x:f>J86-K86</x:f>
        <x:v>758</x:v>
      </x:c>
      <x:c r="M86" s="2" t="str">
        <x:f>TEXT(B86,"yyyy-mm")</x:f>
        <x:v>2026-08</x:v>
      </x:c>
      <x:c r="N86" s="2"/>
      <x:c r="O86" s="2"/>
      <x:c r="P86" s="2"/>
    </x:row>
    <x:row r="87" ht="26" customHeight="1">
      <x:c r="A87" s="2" t="str">
        <x:v>O086</x:v>
      </x:c>
      <x:c r="B87" s="7" t="d">
        <x:v>2026-08-02T00:00:00.000Z</x:v>
      </x:c>
      <x:c r="C87" s="2" t="str">
        <x:v>Настольная лампа</x:v>
      </x:c>
      <x:c r="D87" s="2" t="str">
        <x:v>Маркетплейс</x:v>
      </x:c>
      <x:c r="E87" s="29" t="n">
        <x:v>1</x:v>
      </x:c>
      <x:c r="F87" s="8" t="n">
        <x:v>2900</x:v>
      </x:c>
      <x:c r="G87" s="8" t="n">
        <x:v>348</x:v>
      </x:c>
      <x:c r="H87" s="8" t="n">
        <x:v>1700</x:v>
      </x:c>
      <x:c r="I87" s="2" t="str">
        <x:v>возвращён</x:v>
      </x:c>
      <x:c r="J87" s="8" t="n">
        <x:f>IF(I87="оплачен",E87*F87-G87,0)</x:f>
        <x:v>0</x:v>
      </x:c>
      <x:c r="K87" s="8" t="n">
        <x:f>IF(I87="оплачен",E87*H87,0)</x:f>
        <x:v>0</x:v>
      </x:c>
      <x:c r="L87" s="8" t="n">
        <x:f>J87-K87</x:f>
        <x:v>0</x:v>
      </x:c>
      <x:c r="M87" s="2" t="str">
        <x:f>TEXT(B87,"yyyy-mm")</x:f>
        <x:v>2026-08</x:v>
      </x:c>
      <x:c r="N87" s="2"/>
      <x:c r="O87" s="2"/>
      <x:c r="P87" s="2"/>
    </x:row>
    <x:row r="88" ht="26" customHeight="1">
      <x:c r="A88" s="2" t="str">
        <x:v>O087</x:v>
      </x:c>
      <x:c r="B88" s="7" t="d">
        <x:v>2026-08-03T00:00:00.000Z</x:v>
      </x:c>
      <x:c r="C88" s="2" t="str">
        <x:v>Термокружка</x:v>
      </x:c>
      <x:c r="D88" s="2" t="str">
        <x:v>Маркетплейс</x:v>
      </x:c>
      <x:c r="E88" s="29" t="n">
        <x:v>1</x:v>
      </x:c>
      <x:c r="F88" s="8" t="n">
        <x:v>1600</x:v>
      </x:c>
      <x:c r="G88" s="8" t="n">
        <x:v>192</x:v>
      </x:c>
      <x:c r="H88" s="8" t="n">
        <x:v>650</x:v>
      </x:c>
      <x:c r="I88" s="2" t="str">
        <x:v>оплачен</x:v>
      </x:c>
      <x:c r="J88" s="8" t="n">
        <x:f>IF(I88="оплачен",E88*F88-G88,0)</x:f>
        <x:v>1408</x:v>
      </x:c>
      <x:c r="K88" s="8" t="n">
        <x:f>IF(I88="оплачен",E88*H88,0)</x:f>
        <x:v>650</x:v>
      </x:c>
      <x:c r="L88" s="8" t="n">
        <x:f>J88-K88</x:f>
        <x:v>758</x:v>
      </x:c>
      <x:c r="M88" s="2" t="str">
        <x:f>TEXT(B88,"yyyy-mm")</x:f>
        <x:v>2026-08</x:v>
      </x:c>
      <x:c r="N88" s="2"/>
      <x:c r="O88" s="2"/>
      <x:c r="P88" s="2"/>
    </x:row>
    <x:row r="89" ht="26" customHeight="1">
      <x:c r="A89" s="2" t="str">
        <x:v>O088</x:v>
      </x:c>
      <x:c r="B89" s="7" t="d">
        <x:v>2026-08-04T00:00:00.000Z</x:v>
      </x:c>
      <x:c r="C89" s="2" t="str">
        <x:v>Планер</x:v>
      </x:c>
      <x:c r="D89" s="2" t="str">
        <x:v>Соцсети</x:v>
      </x:c>
      <x:c r="E89" s="29" t="n">
        <x:v>4</x:v>
      </x:c>
      <x:c r="F89" s="8" t="n">
        <x:v>800</x:v>
      </x:c>
      <x:c r="G89" s="8" t="n">
        <x:v>96</x:v>
      </x:c>
      <x:c r="H89" s="8" t="n">
        <x:v>280</x:v>
      </x:c>
      <x:c r="I89" s="2" t="str">
        <x:v>оплачен</x:v>
      </x:c>
      <x:c r="J89" s="8" t="n">
        <x:f>IF(I89="оплачен",E89*F89-G89,0)</x:f>
        <x:v>3104</x:v>
      </x:c>
      <x:c r="K89" s="8" t="n">
        <x:f>IF(I89="оплачен",E89*H89,0)</x:f>
        <x:v>1120</x:v>
      </x:c>
      <x:c r="L89" s="8" t="n">
        <x:f>J89-K89</x:f>
        <x:v>1984</x:v>
      </x:c>
      <x:c r="M89" s="2" t="str">
        <x:f>TEXT(B89,"yyyy-mm")</x:f>
        <x:v>2026-08</x:v>
      </x:c>
      <x:c r="N89" s="2"/>
      <x:c r="O89" s="2"/>
      <x:c r="P89" s="2"/>
    </x:row>
    <x:row r="90" ht="26" customHeight="1">
      <x:c r="A90" s="2" t="str">
        <x:v>O089</x:v>
      </x:c>
      <x:c r="B90" s="7" t="d">
        <x:v>2026-08-05T00:00:00.000Z</x:v>
      </x:c>
      <x:c r="C90" s="2" t="str">
        <x:v>Планер</x:v>
      </x:c>
      <x:c r="D90" s="2" t="str">
        <x:v>Маркетплейс</x:v>
      </x:c>
      <x:c r="E90" s="29" t="n">
        <x:v>1</x:v>
      </x:c>
      <x:c r="F90" s="8" t="n">
        <x:v>800</x:v>
      </x:c>
      <x:c r="G90" s="8" t="n">
        <x:v>96</x:v>
      </x:c>
      <x:c r="H90" s="8" t="n">
        <x:v>280</x:v>
      </x:c>
      <x:c r="I90" s="2" t="str">
        <x:v>оплачен</x:v>
      </x:c>
      <x:c r="J90" s="8" t="n">
        <x:f>IF(I90="оплачен",E90*F90-G90,0)</x:f>
        <x:v>704</x:v>
      </x:c>
      <x:c r="K90" s="8" t="n">
        <x:f>IF(I90="оплачен",E90*H90,0)</x:f>
        <x:v>280</x:v>
      </x:c>
      <x:c r="L90" s="8" t="n">
        <x:f>J90-K90</x:f>
        <x:v>424</x:v>
      </x:c>
      <x:c r="M90" s="2" t="str">
        <x:f>TEXT(B90,"yyyy-mm")</x:f>
        <x:v>2026-08</x:v>
      </x:c>
      <x:c r="N90" s="2"/>
      <x:c r="O90" s="2"/>
      <x:c r="P90" s="2"/>
    </x:row>
    <x:row r="91" ht="26" customHeight="1">
      <x:c r="A91" s="2" t="str">
        <x:v>O090</x:v>
      </x:c>
      <x:c r="B91" s="7" t="d">
        <x:v>2026-08-06T00:00:00.000Z</x:v>
      </x:c>
      <x:c r="C91" s="2" t="str">
        <x:v>Настольная лампа</x:v>
      </x:c>
      <x:c r="D91" s="2" t="str">
        <x:v>Маркетплейс</x:v>
      </x:c>
      <x:c r="E91" s="29" t="n">
        <x:v>3</x:v>
      </x:c>
      <x:c r="F91" s="8" t="n">
        <x:v>2900</x:v>
      </x:c>
      <x:c r="G91" s="8" t="n">
        <x:v>1044</x:v>
      </x:c>
      <x:c r="H91" s="8" t="n">
        <x:v>1700</x:v>
      </x:c>
      <x:c r="I91" s="2" t="str">
        <x:v>оплачен</x:v>
      </x:c>
      <x:c r="J91" s="8" t="n">
        <x:f>IF(I91="оплачен",E91*F91-G91,0)</x:f>
        <x:v>7656</x:v>
      </x:c>
      <x:c r="K91" s="8" t="n">
        <x:f>IF(I91="оплачен",E91*H91,0)</x:f>
        <x:v>5100</x:v>
      </x:c>
      <x:c r="L91" s="8" t="n">
        <x:f>J91-K91</x:f>
        <x:v>2556</x:v>
      </x:c>
      <x:c r="M91" s="2" t="str">
        <x:f>TEXT(B91,"yyyy-mm")</x:f>
        <x:v>2026-08</x:v>
      </x:c>
      <x:c r="N91" s="2"/>
      <x:c r="O91" s="2"/>
      <x:c r="P91" s="2"/>
    </x:row>
    <x:row r="92" ht="26" customHeight="1">
      <x:c r="A92" s="2" t="str">
        <x:v>O091</x:v>
      </x:c>
      <x:c r="B92" s="7" t="d">
        <x:v>2026-08-07T00:00:00.000Z</x:v>
      </x:c>
      <x:c r="C92" s="2" t="str">
        <x:v>Рюкзак</x:v>
      </x:c>
      <x:c r="D92" s="2" t="str">
        <x:v>Сайт</x:v>
      </x:c>
      <x:c r="E92" s="29" t="n">
        <x:v>3</x:v>
      </x:c>
      <x:c r="F92" s="8" t="n">
        <x:v>3600</x:v>
      </x:c>
      <x:c r="G92" s="8" t="n">
        <x:v>324</x:v>
      </x:c>
      <x:c r="H92" s="8" t="n">
        <x:v>1900</x:v>
      </x:c>
      <x:c r="I92" s="2" t="str">
        <x:v>оплачен</x:v>
      </x:c>
      <x:c r="J92" s="8" t="n">
        <x:f>IF(I92="оплачен",E92*F92-G92,0)</x:f>
        <x:v>10476</x:v>
      </x:c>
      <x:c r="K92" s="8" t="n">
        <x:f>IF(I92="оплачен",E92*H92,0)</x:f>
        <x:v>5700</x:v>
      </x:c>
      <x:c r="L92" s="8" t="n">
        <x:f>J92-K92</x:f>
        <x:v>4776</x:v>
      </x:c>
      <x:c r="M92" s="2" t="str">
        <x:f>TEXT(B92,"yyyy-mm")</x:f>
        <x:v>2026-08</x:v>
      </x:c>
      <x:c r="N92" s="2"/>
      <x:c r="O92" s="2"/>
      <x:c r="P92" s="2"/>
    </x:row>
    <x:row r="93" ht="26" customHeight="1">
      <x:c r="A93" s="2" t="str">
        <x:v>O092</x:v>
      </x:c>
      <x:c r="B93" s="7" t="d">
        <x:v>2026-08-08T00:00:00.000Z</x:v>
      </x:c>
      <x:c r="C93" s="2" t="str">
        <x:v>Настольная лампа</x:v>
      </x:c>
      <x:c r="D93" s="2" t="str">
        <x:v>Маркетплейс</x:v>
      </x:c>
      <x:c r="E93" s="29" t="n">
        <x:v>3</x:v>
      </x:c>
      <x:c r="F93" s="8" t="n">
        <x:v>2900</x:v>
      </x:c>
      <x:c r="G93" s="8" t="n">
        <x:v>1044</x:v>
      </x:c>
      <x:c r="H93" s="8" t="n">
        <x:v>1700</x:v>
      </x:c>
      <x:c r="I93" s="2" t="str">
        <x:v>отменён</x:v>
      </x:c>
      <x:c r="J93" s="8" t="n">
        <x:f>IF(I93="оплачен",E93*F93-G93,0)</x:f>
        <x:v>0</x:v>
      </x:c>
      <x:c r="K93" s="8" t="n">
        <x:f>IF(I93="оплачен",E93*H93,0)</x:f>
        <x:v>0</x:v>
      </x:c>
      <x:c r="L93" s="8" t="n">
        <x:f>J93-K93</x:f>
        <x:v>0</x:v>
      </x:c>
      <x:c r="M93" s="2" t="str">
        <x:f>TEXT(B93,"yyyy-mm")</x:f>
        <x:v>2026-08</x:v>
      </x:c>
      <x:c r="N93" s="2"/>
      <x:c r="O93" s="2"/>
      <x:c r="P93" s="2"/>
    </x:row>
    <x:row r="94" ht="26" customHeight="1">
      <x:c r="A94" s="2" t="str">
        <x:v>O093</x:v>
      </x:c>
      <x:c r="B94" s="7" t="d">
        <x:v>2026-08-09T00:00:00.000Z</x:v>
      </x:c>
      <x:c r="C94" s="2" t="str">
        <x:v>Рюкзак</x:v>
      </x:c>
      <x:c r="D94" s="2" t="str">
        <x:v>Соцсети</x:v>
      </x:c>
      <x:c r="E94" s="29" t="n">
        <x:v>4</x:v>
      </x:c>
      <x:c r="F94" s="8" t="n">
        <x:v>3600</x:v>
      </x:c>
      <x:c r="G94" s="8" t="n">
        <x:v>432</x:v>
      </x:c>
      <x:c r="H94" s="8" t="n">
        <x:v>1900</x:v>
      </x:c>
      <x:c r="I94" s="2" t="str">
        <x:v>оплачен</x:v>
      </x:c>
      <x:c r="J94" s="8" t="n">
        <x:f>IF(I94="оплачен",E94*F94-G94,0)</x:f>
        <x:v>13968</x:v>
      </x:c>
      <x:c r="K94" s="8" t="n">
        <x:f>IF(I94="оплачен",E94*H94,0)</x:f>
        <x:v>7600</x:v>
      </x:c>
      <x:c r="L94" s="8" t="n">
        <x:f>J94-K94</x:f>
        <x:v>6368</x:v>
      </x:c>
      <x:c r="M94" s="2" t="str">
        <x:f>TEXT(B94,"yyyy-mm")</x:f>
        <x:v>2026-08</x:v>
      </x:c>
      <x:c r="N94" s="2"/>
      <x:c r="O94" s="2"/>
      <x:c r="P94" s="2"/>
    </x:row>
    <x:row r="95" ht="26" customHeight="1">
      <x:c r="A95" s="2" t="str">
        <x:v>O094</x:v>
      </x:c>
      <x:c r="B95" s="7" t="d">
        <x:v>2026-08-10T00:00:00.000Z</x:v>
      </x:c>
      <x:c r="C95" s="2" t="str">
        <x:v>Термокружка</x:v>
      </x:c>
      <x:c r="D95" s="2" t="str">
        <x:v>Соцсети</x:v>
      </x:c>
      <x:c r="E95" s="29" t="n">
        <x:v>1</x:v>
      </x:c>
      <x:c r="F95" s="8" t="n">
        <x:v>1600</x:v>
      </x:c>
      <x:c r="G95" s="8" t="n">
        <x:v>48</x:v>
      </x:c>
      <x:c r="H95" s="8" t="n">
        <x:v>650</x:v>
      </x:c>
      <x:c r="I95" s="2" t="str">
        <x:v>оплачен</x:v>
      </x:c>
      <x:c r="J95" s="8" t="n">
        <x:f>IF(I95="оплачен",E95*F95-G95,0)</x:f>
        <x:v>1552</x:v>
      </x:c>
      <x:c r="K95" s="8" t="n">
        <x:f>IF(I95="оплачен",E95*H95,0)</x:f>
        <x:v>650</x:v>
      </x:c>
      <x:c r="L95" s="8" t="n">
        <x:f>J95-K95</x:f>
        <x:v>902</x:v>
      </x:c>
      <x:c r="M95" s="2" t="str">
        <x:f>TEXT(B95,"yyyy-mm")</x:f>
        <x:v>2026-08</x:v>
      </x:c>
      <x:c r="N95" s="2"/>
      <x:c r="O95" s="2"/>
      <x:c r="P95" s="2"/>
    </x:row>
    <x:row r="96" ht="26" customHeight="1">
      <x:c r="A96" s="2" t="str">
        <x:v>O095</x:v>
      </x:c>
      <x:c r="B96" s="7" t="d">
        <x:v>2026-08-11T00:00:00.000Z</x:v>
      </x:c>
      <x:c r="C96" s="2" t="str">
        <x:v>Рюкзак</x:v>
      </x:c>
      <x:c r="D96" s="2" t="str">
        <x:v>Маркетплейс</x:v>
      </x:c>
      <x:c r="E96" s="29" t="n">
        <x:v>2</x:v>
      </x:c>
      <x:c r="F96" s="8" t="n">
        <x:v>3600</x:v>
      </x:c>
      <x:c r="G96" s="8" t="n">
        <x:v>864</x:v>
      </x:c>
      <x:c r="H96" s="8" t="n">
        <x:v>1900</x:v>
      </x:c>
      <x:c r="I96" s="2" t="str">
        <x:v>оплачен</x:v>
      </x:c>
      <x:c r="J96" s="8" t="n">
        <x:f>IF(I96="оплачен",E96*F96-G96,0)</x:f>
        <x:v>6336</x:v>
      </x:c>
      <x:c r="K96" s="8" t="n">
        <x:f>IF(I96="оплачен",E96*H96,0)</x:f>
        <x:v>3800</x:v>
      </x:c>
      <x:c r="L96" s="8" t="n">
        <x:f>J96-K96</x:f>
        <x:v>2536</x:v>
      </x:c>
      <x:c r="M96" s="2" t="str">
        <x:f>TEXT(B96,"yyyy-mm")</x:f>
        <x:v>2026-08</x:v>
      </x:c>
      <x:c r="N96" s="2"/>
      <x:c r="O96" s="2"/>
      <x:c r="P96" s="2"/>
    </x:row>
    <x:row r="97" ht="26" customHeight="1">
      <x:c r="A97" s="2" t="str">
        <x:v>O096</x:v>
      </x:c>
      <x:c r="B97" s="7" t="d">
        <x:v>2026-08-12T00:00:00.000Z</x:v>
      </x:c>
      <x:c r="C97" s="2" t="str">
        <x:v>Рюкзак</x:v>
      </x:c>
      <x:c r="D97" s="2" t="str">
        <x:v>Соцсети</x:v>
      </x:c>
      <x:c r="E97" s="29" t="n">
        <x:v>1</x:v>
      </x:c>
      <x:c r="F97" s="8" t="n">
        <x:v>3600</x:v>
      </x:c>
      <x:c r="G97" s="8" t="n">
        <x:v>108</x:v>
      </x:c>
      <x:c r="H97" s="8" t="n">
        <x:v>1900</x:v>
      </x:c>
      <x:c r="I97" s="2" t="str">
        <x:v>оплачен</x:v>
      </x:c>
      <x:c r="J97" s="8" t="n">
        <x:f>IF(I97="оплачен",E97*F97-G97,0)</x:f>
        <x:v>3492</x:v>
      </x:c>
      <x:c r="K97" s="8" t="n">
        <x:f>IF(I97="оплачен",E97*H97,0)</x:f>
        <x:v>1900</x:v>
      </x:c>
      <x:c r="L97" s="8" t="n">
        <x:f>J97-K97</x:f>
        <x:v>1592</x:v>
      </x:c>
      <x:c r="M97" s="2" t="str">
        <x:f>TEXT(B97,"yyyy-mm")</x:f>
        <x:v>2026-08</x:v>
      </x:c>
      <x:c r="N97" s="2"/>
      <x:c r="O97" s="2"/>
      <x:c r="P97" s="2"/>
    </x:row>
    <x:row r="98" ht="26" customHeight="1">
      <x:c r="A98" s="2" t="str">
        <x:v>O097</x:v>
      </x:c>
      <x:c r="B98" s="7" t="d">
        <x:v>2026-08-13T00:00:00.000Z</x:v>
      </x:c>
      <x:c r="C98" s="2" t="str">
        <x:v>Термокружка</x:v>
      </x:c>
      <x:c r="D98" s="2" t="str">
        <x:v>Маркетплейс</x:v>
      </x:c>
      <x:c r="E98" s="29" t="n">
        <x:v>2</x:v>
      </x:c>
      <x:c r="F98" s="8" t="n">
        <x:v>1600</x:v>
      </x:c>
      <x:c r="G98" s="8" t="n">
        <x:v>384</x:v>
      </x:c>
      <x:c r="H98" s="8" t="n">
        <x:v>650</x:v>
      </x:c>
      <x:c r="I98" s="2" t="str">
        <x:v>оплачен</x:v>
      </x:c>
      <x:c r="J98" s="8" t="n">
        <x:f>IF(I98="оплачен",E98*F98-G98,0)</x:f>
        <x:v>2816</x:v>
      </x:c>
      <x:c r="K98" s="8" t="n">
        <x:f>IF(I98="оплачен",E98*H98,0)</x:f>
        <x:v>1300</x:v>
      </x:c>
      <x:c r="L98" s="8" t="n">
        <x:f>J98-K98</x:f>
        <x:v>1516</x:v>
      </x:c>
      <x:c r="M98" s="2" t="str">
        <x:f>TEXT(B98,"yyyy-mm")</x:f>
        <x:v>2026-08</x:v>
      </x:c>
      <x:c r="N98" s="2"/>
      <x:c r="O98" s="2"/>
      <x:c r="P98" s="2"/>
    </x:row>
    <x:row r="99" ht="26" customHeight="1">
      <x:c r="A99" s="2" t="str">
        <x:v>O098</x:v>
      </x:c>
      <x:c r="B99" s="7" t="d">
        <x:v>2026-08-14T00:00:00.000Z</x:v>
      </x:c>
      <x:c r="C99" s="2" t="str">
        <x:v>Планер</x:v>
      </x:c>
      <x:c r="D99" s="2" t="str">
        <x:v>Соцсети</x:v>
      </x:c>
      <x:c r="E99" s="29" t="n">
        <x:v>1</x:v>
      </x:c>
      <x:c r="F99" s="8" t="n">
        <x:v>800</x:v>
      </x:c>
      <x:c r="G99" s="8" t="n">
        <x:v>24</x:v>
      </x:c>
      <x:c r="H99" s="8" t="n">
        <x:v>280</x:v>
      </x:c>
      <x:c r="I99" s="2" t="str">
        <x:v>оплачен</x:v>
      </x:c>
      <x:c r="J99" s="8" t="n">
        <x:f>IF(I99="оплачен",E99*F99-G99,0)</x:f>
        <x:v>776</x:v>
      </x:c>
      <x:c r="K99" s="8" t="n">
        <x:f>IF(I99="оплачен",E99*H99,0)</x:f>
        <x:v>280</x:v>
      </x:c>
      <x:c r="L99" s="8" t="n">
        <x:f>J99-K99</x:f>
        <x:v>496</x:v>
      </x:c>
      <x:c r="M99" s="2" t="str">
        <x:f>TEXT(B99,"yyyy-mm")</x:f>
        <x:v>2026-08</x:v>
      </x:c>
      <x:c r="N99" s="2"/>
      <x:c r="O99" s="2"/>
      <x:c r="P99" s="2"/>
    </x:row>
    <x:row r="100" ht="26" customHeight="1">
      <x:c r="A100" s="2" t="str">
        <x:v>O099</x:v>
      </x:c>
      <x:c r="B100" s="7" t="d">
        <x:v>2026-08-15T00:00:00.000Z</x:v>
      </x:c>
      <x:c r="C100" s="2" t="str">
        <x:v>Планер</x:v>
      </x:c>
      <x:c r="D100" s="2" t="str">
        <x:v>Соцсети</x:v>
      </x:c>
      <x:c r="E100" s="29" t="n">
        <x:v>4</x:v>
      </x:c>
      <x:c r="F100" s="8" t="n">
        <x:v>800</x:v>
      </x:c>
      <x:c r="G100" s="8" t="n">
        <x:v>96</x:v>
      </x:c>
      <x:c r="H100" s="8" t="n">
        <x:v>280</x:v>
      </x:c>
      <x:c r="I100" s="2" t="str">
        <x:v>оплачен</x:v>
      </x:c>
      <x:c r="J100" s="8" t="n">
        <x:f>IF(I100="оплачен",E100*F100-G100,0)</x:f>
        <x:v>3104</x:v>
      </x:c>
      <x:c r="K100" s="8" t="n">
        <x:f>IF(I100="оплачен",E100*H100,0)</x:f>
        <x:v>1120</x:v>
      </x:c>
      <x:c r="L100" s="8" t="n">
        <x:f>J100-K100</x:f>
        <x:v>1984</x:v>
      </x:c>
      <x:c r="M100" s="2" t="str">
        <x:f>TEXT(B100,"yyyy-mm")</x:f>
        <x:v>2026-08</x:v>
      </x:c>
      <x:c r="N100" s="2"/>
      <x:c r="O100" s="2"/>
      <x:c r="P100" s="2"/>
    </x:row>
    <x:row r="101" ht="26" customHeight="1">
      <x:c r="A101" s="2" t="str">
        <x:v>O100</x:v>
      </x:c>
      <x:c r="B101" s="7" t="d">
        <x:v>2026-08-16T00:00:00.000Z</x:v>
      </x:c>
      <x:c r="C101" s="2" t="str">
        <x:v>Рюкзак</x:v>
      </x:c>
      <x:c r="D101" s="2" t="str">
        <x:v>Маркетплейс</x:v>
      </x:c>
      <x:c r="E101" s="29" t="n">
        <x:v>3</x:v>
      </x:c>
      <x:c r="F101" s="8" t="n">
        <x:v>3600</x:v>
      </x:c>
      <x:c r="G101" s="8" t="n">
        <x:v>1296</x:v>
      </x:c>
      <x:c r="H101" s="8" t="n">
        <x:v>1900</x:v>
      </x:c>
      <x:c r="I101" s="2" t="str">
        <x:v>оплачен</x:v>
      </x:c>
      <x:c r="J101" s="8" t="n">
        <x:f>IF(I101="оплачен",E101*F101-G101,0)</x:f>
        <x:v>9504</x:v>
      </x:c>
      <x:c r="K101" s="8" t="n">
        <x:f>IF(I101="оплачен",E101*H101,0)</x:f>
        <x:v>5700</x:v>
      </x:c>
      <x:c r="L101" s="8" t="n">
        <x:f>J101-K101</x:f>
        <x:v>3804</x:v>
      </x:c>
      <x:c r="M101" s="2" t="str">
        <x:f>TEXT(B101,"yyyy-mm")</x:f>
        <x:v>2026-08</x:v>
      </x:c>
      <x:c r="N101" s="2"/>
      <x:c r="O101" s="2"/>
      <x:c r="P101" s="2"/>
    </x:row>
    <x:row r="102" ht="26" customHeight="1">
      <x:c r="A102" s="2" t="str">
        <x:v>O101</x:v>
      </x:c>
      <x:c r="B102" s="7" t="d">
        <x:v>2026-08-17T00:00:00.000Z</x:v>
      </x:c>
      <x:c r="C102" s="2" t="str">
        <x:v>Планер</x:v>
      </x:c>
      <x:c r="D102" s="2" t="str">
        <x:v>Сайт</x:v>
      </x:c>
      <x:c r="E102" s="29" t="n">
        <x:v>1</x:v>
      </x:c>
      <x:c r="F102" s="8" t="n">
        <x:v>800</x:v>
      </x:c>
      <x:c r="G102" s="8" t="n">
        <x:v>24</x:v>
      </x:c>
      <x:c r="H102" s="8" t="n">
        <x:v>280</x:v>
      </x:c>
      <x:c r="I102" s="2" t="str">
        <x:v>оплачен</x:v>
      </x:c>
      <x:c r="J102" s="8" t="n">
        <x:f>IF(I102="оплачен",E102*F102-G102,0)</x:f>
        <x:v>776</x:v>
      </x:c>
      <x:c r="K102" s="8" t="n">
        <x:f>IF(I102="оплачен",E102*H102,0)</x:f>
        <x:v>280</x:v>
      </x:c>
      <x:c r="L102" s="8" t="n">
        <x:f>J102-K102</x:f>
        <x:v>496</x:v>
      </x:c>
      <x:c r="M102" s="2" t="str">
        <x:f>TEXT(B102,"yyyy-mm")</x:f>
        <x:v>2026-08</x:v>
      </x:c>
      <x:c r="N102" s="2"/>
      <x:c r="O102" s="2"/>
      <x:c r="P102" s="2"/>
    </x:row>
    <x:row r="103" ht="26" customHeight="1">
      <x:c r="A103" s="2" t="str">
        <x:v>O102</x:v>
      </x:c>
      <x:c r="B103" s="7" t="d">
        <x:v>2026-08-18T00:00:00.000Z</x:v>
      </x:c>
      <x:c r="C103" s="2" t="str">
        <x:v>Настольная лампа</x:v>
      </x:c>
      <x:c r="D103" s="2" t="str">
        <x:v>Маркетплейс</x:v>
      </x:c>
      <x:c r="E103" s="29" t="n">
        <x:v>2</x:v>
      </x:c>
      <x:c r="F103" s="8" t="n">
        <x:v>2900</x:v>
      </x:c>
      <x:c r="G103" s="8" t="n">
        <x:v>696</x:v>
      </x:c>
      <x:c r="H103" s="8" t="n">
        <x:v>1700</x:v>
      </x:c>
      <x:c r="I103" s="2" t="str">
        <x:v>оплачен</x:v>
      </x:c>
      <x:c r="J103" s="8" t="n">
        <x:f>IF(I103="оплачен",E103*F103-G103,0)</x:f>
        <x:v>5104</x:v>
      </x:c>
      <x:c r="K103" s="8" t="n">
        <x:f>IF(I103="оплачен",E103*H103,0)</x:f>
        <x:v>3400</x:v>
      </x:c>
      <x:c r="L103" s="8" t="n">
        <x:f>J103-K103</x:f>
        <x:v>1704</x:v>
      </x:c>
      <x:c r="M103" s="2" t="str">
        <x:f>TEXT(B103,"yyyy-mm")</x:f>
        <x:v>2026-08</x:v>
      </x:c>
      <x:c r="N103" s="2"/>
      <x:c r="O103" s="2"/>
      <x:c r="P103" s="2"/>
    </x:row>
    <x:row r="104" ht="26" customHeight="1">
      <x:c r="A104" s="2" t="str">
        <x:v>O103</x:v>
      </x:c>
      <x:c r="B104" s="7" t="d">
        <x:v>2026-08-19T00:00:00.000Z</x:v>
      </x:c>
      <x:c r="C104" s="2" t="str">
        <x:v>Планер</x:v>
      </x:c>
      <x:c r="D104" s="2" t="str">
        <x:v>Маркетплейс</x:v>
      </x:c>
      <x:c r="E104" s="29" t="n">
        <x:v>4</x:v>
      </x:c>
      <x:c r="F104" s="8" t="n">
        <x:v>800</x:v>
      </x:c>
      <x:c r="G104" s="8" t="n">
        <x:v>384</x:v>
      </x:c>
      <x:c r="H104" s="8" t="n">
        <x:v>280</x:v>
      </x:c>
      <x:c r="I104" s="2" t="str">
        <x:v>возвращён</x:v>
      </x:c>
      <x:c r="J104" s="8" t="n">
        <x:f>IF(I104="оплачен",E104*F104-G104,0)</x:f>
        <x:v>0</x:v>
      </x:c>
      <x:c r="K104" s="8" t="n">
        <x:f>IF(I104="оплачен",E104*H104,0)</x:f>
        <x:v>0</x:v>
      </x:c>
      <x:c r="L104" s="8" t="n">
        <x:f>J104-K104</x:f>
        <x:v>0</x:v>
      </x:c>
      <x:c r="M104" s="2" t="str">
        <x:f>TEXT(B104,"yyyy-mm")</x:f>
        <x:v>2026-08</x:v>
      </x:c>
      <x:c r="N104" s="2"/>
      <x:c r="O104" s="2"/>
      <x:c r="P104" s="2"/>
    </x:row>
    <x:row r="105" ht="26" customHeight="1">
      <x:c r="A105" s="2" t="str">
        <x:v>O104</x:v>
      </x:c>
      <x:c r="B105" s="7" t="d">
        <x:v>2026-08-20T00:00:00.000Z</x:v>
      </x:c>
      <x:c r="C105" s="2" t="str">
        <x:v>Настольная лампа</x:v>
      </x:c>
      <x:c r="D105" s="2" t="str">
        <x:v>Маркетплейс</x:v>
      </x:c>
      <x:c r="E105" s="29" t="n">
        <x:v>2</x:v>
      </x:c>
      <x:c r="F105" s="8" t="n">
        <x:v>2900</x:v>
      </x:c>
      <x:c r="G105" s="8" t="n">
        <x:v>696</x:v>
      </x:c>
      <x:c r="H105" s="8" t="n">
        <x:v>1700</x:v>
      </x:c>
      <x:c r="I105" s="2" t="str">
        <x:v>оплачен</x:v>
      </x:c>
      <x:c r="J105" s="8" t="n">
        <x:f>IF(I105="оплачен",E105*F105-G105,0)</x:f>
        <x:v>5104</x:v>
      </x:c>
      <x:c r="K105" s="8" t="n">
        <x:f>IF(I105="оплачен",E105*H105,0)</x:f>
        <x:v>3400</x:v>
      </x:c>
      <x:c r="L105" s="8" t="n">
        <x:f>J105-K105</x:f>
        <x:v>1704</x:v>
      </x:c>
      <x:c r="M105" s="2" t="str">
        <x:f>TEXT(B105,"yyyy-mm")</x:f>
        <x:v>2026-08</x:v>
      </x:c>
      <x:c r="N105" s="2"/>
      <x:c r="O105" s="2"/>
      <x:c r="P105" s="2"/>
    </x:row>
    <x:row r="106" ht="26" customHeight="1">
      <x:c r="A106" s="2" t="str">
        <x:v>O105</x:v>
      </x:c>
      <x:c r="B106" s="7" t="d">
        <x:v>2026-08-21T00:00:00.000Z</x:v>
      </x:c>
      <x:c r="C106" s="2" t="str">
        <x:v>Настольная лампа</x:v>
      </x:c>
      <x:c r="D106" s="2" t="str">
        <x:v>Соцсети</x:v>
      </x:c>
      <x:c r="E106" s="29" t="n">
        <x:v>4</x:v>
      </x:c>
      <x:c r="F106" s="8" t="n">
        <x:v>2900</x:v>
      </x:c>
      <x:c r="G106" s="8" t="n">
        <x:v>348</x:v>
      </x:c>
      <x:c r="H106" s="8" t="n">
        <x:v>1700</x:v>
      </x:c>
      <x:c r="I106" s="2" t="str">
        <x:v>отменён</x:v>
      </x:c>
      <x:c r="J106" s="8" t="n">
        <x:f>IF(I106="оплачен",E106*F106-G106,0)</x:f>
        <x:v>0</x:v>
      </x:c>
      <x:c r="K106" s="8" t="n">
        <x:f>IF(I106="оплачен",E106*H106,0)</x:f>
        <x:v>0</x:v>
      </x:c>
      <x:c r="L106" s="8" t="n">
        <x:f>J106-K106</x:f>
        <x:v>0</x:v>
      </x:c>
      <x:c r="M106" s="2" t="str">
        <x:f>TEXT(B106,"yyyy-mm")</x:f>
        <x:v>2026-08</x:v>
      </x:c>
      <x:c r="N106" s="2"/>
      <x:c r="O106" s="2"/>
      <x:c r="P106" s="2"/>
    </x:row>
    <x:row r="107" ht="26" customHeight="1">
      <x:c r="A107" s="2" t="str">
        <x:v>O106</x:v>
      </x:c>
      <x:c r="B107" s="7" t="d">
        <x:v>2026-08-22T00:00:00.000Z</x:v>
      </x:c>
      <x:c r="C107" s="2" t="str">
        <x:v>Планер</x:v>
      </x:c>
      <x:c r="D107" s="2" t="str">
        <x:v>Соцсети</x:v>
      </x:c>
      <x:c r="E107" s="29" t="n">
        <x:v>1</x:v>
      </x:c>
      <x:c r="F107" s="8" t="n">
        <x:v>800</x:v>
      </x:c>
      <x:c r="G107" s="8" t="n">
        <x:v>24</x:v>
      </x:c>
      <x:c r="H107" s="8" t="n">
        <x:v>280</x:v>
      </x:c>
      <x:c r="I107" s="2" t="str">
        <x:v>оплачен</x:v>
      </x:c>
      <x:c r="J107" s="8" t="n">
        <x:f>IF(I107="оплачен",E107*F107-G107,0)</x:f>
        <x:v>776</x:v>
      </x:c>
      <x:c r="K107" s="8" t="n">
        <x:f>IF(I107="оплачен",E107*H107,0)</x:f>
        <x:v>280</x:v>
      </x:c>
      <x:c r="L107" s="8" t="n">
        <x:f>J107-K107</x:f>
        <x:v>496</x:v>
      </x:c>
      <x:c r="M107" s="2" t="str">
        <x:f>TEXT(B107,"yyyy-mm")</x:f>
        <x:v>2026-08</x:v>
      </x:c>
      <x:c r="N107" s="2"/>
      <x:c r="O107" s="2"/>
      <x:c r="P107" s="2"/>
    </x:row>
    <x:row r="108" ht="26" customHeight="1">
      <x:c r="A108" s="2" t="str">
        <x:v>O107</x:v>
      </x:c>
      <x:c r="B108" s="7" t="d">
        <x:v>2026-08-23T00:00:00.000Z</x:v>
      </x:c>
      <x:c r="C108" s="2" t="str">
        <x:v>Планер</x:v>
      </x:c>
      <x:c r="D108" s="2" t="str">
        <x:v>Маркетплейс</x:v>
      </x:c>
      <x:c r="E108" s="29" t="n">
        <x:v>3</x:v>
      </x:c>
      <x:c r="F108" s="8" t="n">
        <x:v>800</x:v>
      </x:c>
      <x:c r="G108" s="8" t="n">
        <x:v>288</x:v>
      </x:c>
      <x:c r="H108" s="8" t="n">
        <x:v>280</x:v>
      </x:c>
      <x:c r="I108" s="2" t="str">
        <x:v>оплачен</x:v>
      </x:c>
      <x:c r="J108" s="8" t="n">
        <x:f>IF(I108="оплачен",E108*F108-G108,0)</x:f>
        <x:v>2112</x:v>
      </x:c>
      <x:c r="K108" s="8" t="n">
        <x:f>IF(I108="оплачен",E108*H108,0)</x:f>
        <x:v>840</x:v>
      </x:c>
      <x:c r="L108" s="8" t="n">
        <x:f>J108-K108</x:f>
        <x:v>1272</x:v>
      </x:c>
      <x:c r="M108" s="2" t="str">
        <x:f>TEXT(B108,"yyyy-mm")</x:f>
        <x:v>2026-08</x:v>
      </x:c>
      <x:c r="N108" s="2"/>
      <x:c r="O108" s="2"/>
      <x:c r="P108" s="2"/>
    </x:row>
    <x:row r="109" ht="26" customHeight="1">
      <x:c r="A109" s="2" t="str">
        <x:v>O108</x:v>
      </x:c>
      <x:c r="B109" s="7" t="d">
        <x:v>2026-08-24T00:00:00.000Z</x:v>
      </x:c>
      <x:c r="C109" s="2" t="str">
        <x:v>Рюкзак</x:v>
      </x:c>
      <x:c r="D109" s="2" t="str">
        <x:v>Маркетплейс</x:v>
      </x:c>
      <x:c r="E109" s="29" t="n">
        <x:v>2</x:v>
      </x:c>
      <x:c r="F109" s="8" t="n">
        <x:v>3600</x:v>
      </x:c>
      <x:c r="G109" s="8" t="n">
        <x:v>864</x:v>
      </x:c>
      <x:c r="H109" s="8" t="n">
        <x:v>1900</x:v>
      </x:c>
      <x:c r="I109" s="2" t="str">
        <x:v>оплачен</x:v>
      </x:c>
      <x:c r="J109" s="8" t="n">
        <x:f>IF(I109="оплачен",E109*F109-G109,0)</x:f>
        <x:v>6336</x:v>
      </x:c>
      <x:c r="K109" s="8" t="n">
        <x:f>IF(I109="оплачен",E109*H109,0)</x:f>
        <x:v>3800</x:v>
      </x:c>
      <x:c r="L109" s="8" t="n">
        <x:f>J109-K109</x:f>
        <x:v>2536</x:v>
      </x:c>
      <x:c r="M109" s="2" t="str">
        <x:f>TEXT(B109,"yyyy-mm")</x:f>
        <x:v>2026-08</x:v>
      </x:c>
      <x:c r="N109" s="2"/>
      <x:c r="O109" s="2"/>
      <x:c r="P109" s="2"/>
    </x:row>
    <x:row r="110" ht="26" customHeight="1">
      <x:c r="A110" s="2" t="str">
        <x:v>O109</x:v>
      </x:c>
      <x:c r="B110" s="7" t="d">
        <x:v>2026-08-25T00:00:00.000Z</x:v>
      </x:c>
      <x:c r="C110" s="2" t="str">
        <x:v>Планер</x:v>
      </x:c>
      <x:c r="D110" s="2" t="str">
        <x:v>Маркетплейс</x:v>
      </x:c>
      <x:c r="E110" s="29" t="n">
        <x:v>1</x:v>
      </x:c>
      <x:c r="F110" s="8" t="n">
        <x:v>800</x:v>
      </x:c>
      <x:c r="G110" s="8" t="n">
        <x:v>96</x:v>
      </x:c>
      <x:c r="H110" s="8" t="n">
        <x:v>280</x:v>
      </x:c>
      <x:c r="I110" s="2" t="str">
        <x:v>оплачен</x:v>
      </x:c>
      <x:c r="J110" s="8" t="n">
        <x:f>IF(I110="оплачен",E110*F110-G110,0)</x:f>
        <x:v>704</x:v>
      </x:c>
      <x:c r="K110" s="8" t="n">
        <x:f>IF(I110="оплачен",E110*H110,0)</x:f>
        <x:v>280</x:v>
      </x:c>
      <x:c r="L110" s="8" t="n">
        <x:f>J110-K110</x:f>
        <x:v>424</x:v>
      </x:c>
      <x:c r="M110" s="2" t="str">
        <x:f>TEXT(B110,"yyyy-mm")</x:f>
        <x:v>2026-08</x:v>
      </x:c>
      <x:c r="N110" s="2"/>
      <x:c r="O110" s="2"/>
      <x:c r="P110" s="2"/>
    </x:row>
    <x:row r="111" ht="26" customHeight="1">
      <x:c r="A111" s="2" t="str">
        <x:v>O110</x:v>
      </x:c>
      <x:c r="B111" s="7" t="d">
        <x:v>2026-08-26T00:00:00.000Z</x:v>
      </x:c>
      <x:c r="C111" s="2" t="str">
        <x:v>Планер</x:v>
      </x:c>
      <x:c r="D111" s="2" t="str">
        <x:v>Маркетплейс</x:v>
      </x:c>
      <x:c r="E111" s="29" t="n">
        <x:v>1</x:v>
      </x:c>
      <x:c r="F111" s="8" t="n">
        <x:v>800</x:v>
      </x:c>
      <x:c r="G111" s="8" t="n">
        <x:v>96</x:v>
      </x:c>
      <x:c r="H111" s="8" t="n">
        <x:v>280</x:v>
      </x:c>
      <x:c r="I111" s="2" t="str">
        <x:v>оплачен</x:v>
      </x:c>
      <x:c r="J111" s="8" t="n">
        <x:f>IF(I111="оплачен",E111*F111-G111,0)</x:f>
        <x:v>704</x:v>
      </x:c>
      <x:c r="K111" s="8" t="n">
        <x:f>IF(I111="оплачен",E111*H111,0)</x:f>
        <x:v>280</x:v>
      </x:c>
      <x:c r="L111" s="8" t="n">
        <x:f>J111-K111</x:f>
        <x:v>424</x:v>
      </x:c>
      <x:c r="M111" s="2" t="str">
        <x:f>TEXT(B111,"yyyy-mm")</x:f>
        <x:v>2026-08</x:v>
      </x:c>
      <x:c r="N111" s="2"/>
      <x:c r="O111" s="2"/>
      <x:c r="P111" s="2"/>
    </x:row>
    <x:row r="112" ht="26" customHeight="1">
      <x:c r="A112" s="2" t="str">
        <x:v>O111</x:v>
      </x:c>
      <x:c r="B112" s="7" t="d">
        <x:v>2026-08-27T00:00:00.000Z</x:v>
      </x:c>
      <x:c r="C112" s="2" t="str">
        <x:v>Термокружка</x:v>
      </x:c>
      <x:c r="D112" s="2" t="str">
        <x:v>Маркетплейс</x:v>
      </x:c>
      <x:c r="E112" s="29" t="n">
        <x:v>4</x:v>
      </x:c>
      <x:c r="F112" s="8" t="n">
        <x:v>1600</x:v>
      </x:c>
      <x:c r="G112" s="8" t="n">
        <x:v>768</x:v>
      </x:c>
      <x:c r="H112" s="8" t="n">
        <x:v>650</x:v>
      </x:c>
      <x:c r="I112" s="2" t="str">
        <x:v>оплачен</x:v>
      </x:c>
      <x:c r="J112" s="8" t="n">
        <x:f>IF(I112="оплачен",E112*F112-G112,0)</x:f>
        <x:v>5632</x:v>
      </x:c>
      <x:c r="K112" s="8" t="n">
        <x:f>IF(I112="оплачен",E112*H112,0)</x:f>
        <x:v>2600</x:v>
      </x:c>
      <x:c r="L112" s="8" t="n">
        <x:f>J112-K112</x:f>
        <x:v>3032</x:v>
      </x:c>
      <x:c r="M112" s="2" t="str">
        <x:f>TEXT(B112,"yyyy-mm")</x:f>
        <x:v>2026-08</x:v>
      </x:c>
      <x:c r="N112" s="2"/>
      <x:c r="O112" s="2"/>
      <x:c r="P112" s="2"/>
    </x:row>
    <x:row r="113" ht="26" customHeight="1">
      <x:c r="A113" s="2" t="str">
        <x:v>O112</x:v>
      </x:c>
      <x:c r="B113" s="7" t="d">
        <x:v>2026-08-28T00:00:00.000Z</x:v>
      </x:c>
      <x:c r="C113" s="2" t="str">
        <x:v>Термокружка</x:v>
      </x:c>
      <x:c r="D113" s="2" t="str">
        <x:v>Сайт</x:v>
      </x:c>
      <x:c r="E113" s="29" t="n">
        <x:v>1</x:v>
      </x:c>
      <x:c r="F113" s="8" t="n">
        <x:v>1600</x:v>
      </x:c>
      <x:c r="G113" s="8" t="n">
        <x:v>48</x:v>
      </x:c>
      <x:c r="H113" s="8" t="n">
        <x:v>650</x:v>
      </x:c>
      <x:c r="I113" s="2" t="str">
        <x:v>оплачен</x:v>
      </x:c>
      <x:c r="J113" s="8" t="n">
        <x:f>IF(I113="оплачен",E113*F113-G113,0)</x:f>
        <x:v>1552</x:v>
      </x:c>
      <x:c r="K113" s="8" t="n">
        <x:f>IF(I113="оплачен",E113*H113,0)</x:f>
        <x:v>650</x:v>
      </x:c>
      <x:c r="L113" s="8" t="n">
        <x:f>J113-K113</x:f>
        <x:v>902</x:v>
      </x:c>
      <x:c r="M113" s="2" t="str">
        <x:f>TEXT(B113,"yyyy-mm")</x:f>
        <x:v>2026-08</x:v>
      </x:c>
      <x:c r="N113" s="2"/>
      <x:c r="O113" s="2"/>
      <x:c r="P113" s="2"/>
    </x:row>
    <x:row r="114" ht="26" customHeight="1">
      <x:c r="A114" s="2" t="str">
        <x:v>O113</x:v>
      </x:c>
      <x:c r="B114" s="7" t="d">
        <x:v>2026-08-01T00:00:00.000Z</x:v>
      </x:c>
      <x:c r="C114" s="2" t="str">
        <x:v>Планер</x:v>
      </x:c>
      <x:c r="D114" s="2" t="str">
        <x:v>Маркетплейс</x:v>
      </x:c>
      <x:c r="E114" s="29" t="n">
        <x:v>1</x:v>
      </x:c>
      <x:c r="F114" s="8" t="n">
        <x:v>800</x:v>
      </x:c>
      <x:c r="G114" s="8" t="n">
        <x:v>96</x:v>
      </x:c>
      <x:c r="H114" s="8" t="n">
        <x:v>280</x:v>
      </x:c>
      <x:c r="I114" s="2" t="str">
        <x:v>оплачен</x:v>
      </x:c>
      <x:c r="J114" s="8" t="n">
        <x:f>IF(I114="оплачен",E114*F114-G114,0)</x:f>
        <x:v>704</x:v>
      </x:c>
      <x:c r="K114" s="8" t="n">
        <x:f>IF(I114="оплачен",E114*H114,0)</x:f>
        <x:v>280</x:v>
      </x:c>
      <x:c r="L114" s="8" t="n">
        <x:f>J114-K114</x:f>
        <x:v>424</x:v>
      </x:c>
      <x:c r="M114" s="2" t="str">
        <x:f>TEXT(B114,"yyyy-mm")</x:f>
        <x:v>2026-08</x:v>
      </x:c>
      <x:c r="N114" s="2"/>
      <x:c r="O114" s="2"/>
      <x:c r="P114" s="2"/>
    </x:row>
    <x:row r="115" ht="26" customHeight="1">
      <x:c r="A115" s="2" t="str">
        <x:v>O114</x:v>
      </x:c>
      <x:c r="B115" s="7" t="d">
        <x:v>2026-08-02T00:00:00.000Z</x:v>
      </x:c>
      <x:c r="C115" s="2" t="str">
        <x:v>Термокружка</x:v>
      </x:c>
      <x:c r="D115" s="2" t="str">
        <x:v>Маркетплейс</x:v>
      </x:c>
      <x:c r="E115" s="29" t="n">
        <x:v>4</x:v>
      </x:c>
      <x:c r="F115" s="8" t="n">
        <x:v>1600</x:v>
      </x:c>
      <x:c r="G115" s="8" t="n">
        <x:v>768</x:v>
      </x:c>
      <x:c r="H115" s="8" t="n">
        <x:v>650</x:v>
      </x:c>
      <x:c r="I115" s="2" t="str">
        <x:v>оплачен</x:v>
      </x:c>
      <x:c r="J115" s="8" t="n">
        <x:f>IF(I115="оплачен",E115*F115-G115,0)</x:f>
        <x:v>5632</x:v>
      </x:c>
      <x:c r="K115" s="8" t="n">
        <x:f>IF(I115="оплачен",E115*H115,0)</x:f>
        <x:v>2600</x:v>
      </x:c>
      <x:c r="L115" s="8" t="n">
        <x:f>J115-K115</x:f>
        <x:v>3032</x:v>
      </x:c>
      <x:c r="M115" s="2" t="str">
        <x:f>TEXT(B115,"yyyy-mm")</x:f>
        <x:v>2026-08</x:v>
      </x:c>
      <x:c r="N115" s="2"/>
      <x:c r="O115" s="2"/>
      <x:c r="P115" s="2"/>
    </x:row>
    <x:row r="116" ht="26" customHeight="1">
      <x:c r="A116" s="2" t="str">
        <x:v>O115</x:v>
      </x:c>
      <x:c r="B116" s="7" t="d">
        <x:v>2026-08-03T00:00:00.000Z</x:v>
      </x:c>
      <x:c r="C116" s="2" t="str">
        <x:v>Настольная лампа</x:v>
      </x:c>
      <x:c r="D116" s="2" t="str">
        <x:v>Сайт</x:v>
      </x:c>
      <x:c r="E116" s="29" t="n">
        <x:v>1</x:v>
      </x:c>
      <x:c r="F116" s="8" t="n">
        <x:v>2900</x:v>
      </x:c>
      <x:c r="G116" s="8" t="n">
        <x:v>87</x:v>
      </x:c>
      <x:c r="H116" s="8" t="n">
        <x:v>1700</x:v>
      </x:c>
      <x:c r="I116" s="2" t="str">
        <x:v>оплачен</x:v>
      </x:c>
      <x:c r="J116" s="8" t="n">
        <x:f>IF(I116="оплачен",E116*F116-G116,0)</x:f>
        <x:v>2813</x:v>
      </x:c>
      <x:c r="K116" s="8" t="n">
        <x:f>IF(I116="оплачен",E116*H116,0)</x:f>
        <x:v>1700</x:v>
      </x:c>
      <x:c r="L116" s="8" t="n">
        <x:f>J116-K116</x:f>
        <x:v>1113</x:v>
      </x:c>
      <x:c r="M116" s="2" t="str">
        <x:f>TEXT(B116,"yyyy-mm")</x:f>
        <x:v>2026-08</x:v>
      </x:c>
      <x:c r="N116" s="2"/>
      <x:c r="O116" s="2"/>
      <x:c r="P116" s="2"/>
    </x:row>
    <x:row r="117" ht="26" customHeight="1">
      <x:c r="A117" s="2" t="str">
        <x:v>O116</x:v>
      </x:c>
      <x:c r="B117" s="7" t="d">
        <x:v>2026-08-04T00:00:00.000Z</x:v>
      </x:c>
      <x:c r="C117" s="2" t="str">
        <x:v>Термокружка</x:v>
      </x:c>
      <x:c r="D117" s="2" t="str">
        <x:v>Соцсети</x:v>
      </x:c>
      <x:c r="E117" s="29" t="n">
        <x:v>1</x:v>
      </x:c>
      <x:c r="F117" s="8" t="n">
        <x:v>1600</x:v>
      </x:c>
      <x:c r="G117" s="8" t="n">
        <x:v>48</x:v>
      </x:c>
      <x:c r="H117" s="8" t="n">
        <x:v>650</x:v>
      </x:c>
      <x:c r="I117" s="2" t="str">
        <x:v>оплачен</x:v>
      </x:c>
      <x:c r="J117" s="8" t="n">
        <x:f>IF(I117="оплачен",E117*F117-G117,0)</x:f>
        <x:v>1552</x:v>
      </x:c>
      <x:c r="K117" s="8" t="n">
        <x:f>IF(I117="оплачен",E117*H117,0)</x:f>
        <x:v>650</x:v>
      </x:c>
      <x:c r="L117" s="8" t="n">
        <x:f>J117-K117</x:f>
        <x:v>902</x:v>
      </x:c>
      <x:c r="M117" s="2" t="str">
        <x:f>TEXT(B117,"yyyy-mm")</x:f>
        <x:v>2026-08</x:v>
      </x:c>
      <x:c r="N117" s="2"/>
      <x:c r="O117" s="2"/>
      <x:c r="P117" s="2"/>
    </x:row>
    <x:row r="118" ht="26" customHeight="1">
      <x:c r="A118" s="2" t="str">
        <x:v>O117</x:v>
      </x:c>
      <x:c r="B118" s="7" t="d">
        <x:v>2026-08-05T00:00:00.000Z</x:v>
      </x:c>
      <x:c r="C118" s="2" t="str">
        <x:v>Рюкзак</x:v>
      </x:c>
      <x:c r="D118" s="2" t="str">
        <x:v>Маркетплейс</x:v>
      </x:c>
      <x:c r="E118" s="29" t="n">
        <x:v>3</x:v>
      </x:c>
      <x:c r="F118" s="8" t="n">
        <x:v>3600</x:v>
      </x:c>
      <x:c r="G118" s="8" t="n">
        <x:v>1296</x:v>
      </x:c>
      <x:c r="H118" s="8" t="n">
        <x:v>1900</x:v>
      </x:c>
      <x:c r="I118" s="2" t="str">
        <x:v>оплачен</x:v>
      </x:c>
      <x:c r="J118" s="8" t="n">
        <x:f>IF(I118="оплачен",E118*F118-G118,0)</x:f>
        <x:v>9504</x:v>
      </x:c>
      <x:c r="K118" s="8" t="n">
        <x:f>IF(I118="оплачен",E118*H118,0)</x:f>
        <x:v>5700</x:v>
      </x:c>
      <x:c r="L118" s="8" t="n">
        <x:f>J118-K118</x:f>
        <x:v>3804</x:v>
      </x:c>
      <x:c r="M118" s="2" t="str">
        <x:f>TEXT(B118,"yyyy-mm")</x:f>
        <x:v>2026-08</x:v>
      </x:c>
      <x:c r="N118" s="2"/>
      <x:c r="O118" s="2"/>
      <x:c r="P118" s="2"/>
    </x:row>
    <x:row r="119" ht="26" customHeight="1">
      <x:c r="A119" s="2" t="str">
        <x:v>O118</x:v>
      </x:c>
      <x:c r="B119" s="7" t="d">
        <x:v>2026-08-06T00:00:00.000Z</x:v>
      </x:c>
      <x:c r="C119" s="2" t="str">
        <x:v>Планер</x:v>
      </x:c>
      <x:c r="D119" s="2" t="str">
        <x:v>Маркетплейс</x:v>
      </x:c>
      <x:c r="E119" s="29" t="n">
        <x:v>1</x:v>
      </x:c>
      <x:c r="F119" s="8" t="n">
        <x:v>800</x:v>
      </x:c>
      <x:c r="G119" s="8" t="n">
        <x:v>96</x:v>
      </x:c>
      <x:c r="H119" s="8" t="n">
        <x:v>280</x:v>
      </x:c>
      <x:c r="I119" s="2" t="str">
        <x:v>отменён</x:v>
      </x:c>
      <x:c r="J119" s="8" t="n">
        <x:f>IF(I119="оплачен",E119*F119-G119,0)</x:f>
        <x:v>0</x:v>
      </x:c>
      <x:c r="K119" s="8" t="n">
        <x:f>IF(I119="оплачен",E119*H119,0)</x:f>
        <x:v>0</x:v>
      </x:c>
      <x:c r="L119" s="8" t="n">
        <x:f>J119-K119</x:f>
        <x:v>0</x:v>
      </x:c>
      <x:c r="M119" s="2" t="str">
        <x:f>TEXT(B119,"yyyy-mm")</x:f>
        <x:v>2026-08</x:v>
      </x:c>
      <x:c r="N119" s="2"/>
      <x:c r="O119" s="2"/>
      <x:c r="P119" s="2"/>
    </x:row>
    <x:row r="120" ht="26" customHeight="1">
      <x:c r="A120" s="2" t="str">
        <x:v>O119</x:v>
      </x:c>
      <x:c r="B120" s="7" t="d">
        <x:v>2026-08-07T00:00:00.000Z</x:v>
      </x:c>
      <x:c r="C120" s="2" t="str">
        <x:v>Планер</x:v>
      </x:c>
      <x:c r="D120" s="2" t="str">
        <x:v>Соцсети</x:v>
      </x:c>
      <x:c r="E120" s="29" t="n">
        <x:v>2</x:v>
      </x:c>
      <x:c r="F120" s="8" t="n">
        <x:v>800</x:v>
      </x:c>
      <x:c r="G120" s="8" t="n">
        <x:v>48</x:v>
      </x:c>
      <x:c r="H120" s="8" t="n">
        <x:v>280</x:v>
      </x:c>
      <x:c r="I120" s="2" t="str">
        <x:v>оплачен</x:v>
      </x:c>
      <x:c r="J120" s="8" t="n">
        <x:f>IF(I120="оплачен",E120*F120-G120,0)</x:f>
        <x:v>1552</x:v>
      </x:c>
      <x:c r="K120" s="8" t="n">
        <x:f>IF(I120="оплачен",E120*H120,0)</x:f>
        <x:v>560</x:v>
      </x:c>
      <x:c r="L120" s="8" t="n">
        <x:f>J120-K120</x:f>
        <x:v>992</x:v>
      </x:c>
      <x:c r="M120" s="2" t="str">
        <x:f>TEXT(B120,"yyyy-mm")</x:f>
        <x:v>2026-08</x:v>
      </x:c>
      <x:c r="N120" s="2"/>
      <x:c r="O120" s="2"/>
      <x:c r="P120" s="2"/>
    </x:row>
    <x:row r="121" ht="26" customHeight="1">
      <x:c r="A121" s="2" t="str">
        <x:v>O120</x:v>
      </x:c>
      <x:c r="B121" s="7" t="d">
        <x:v>2026-08-08T00:00:00.000Z</x:v>
      </x:c>
      <x:c r="C121" s="2" t="str">
        <x:v>Настольная лампа</x:v>
      </x:c>
      <x:c r="D121" s="2" t="str">
        <x:v>Сайт</x:v>
      </x:c>
      <x:c r="E121" s="29" t="n">
        <x:v>1</x:v>
      </x:c>
      <x:c r="F121" s="8" t="n">
        <x:v>2900</x:v>
      </x:c>
      <x:c r="G121" s="8" t="n">
        <x:v>87</x:v>
      </x:c>
      <x:c r="H121" s="8" t="n">
        <x:v>1700</x:v>
      </x:c>
      <x:c r="I121" s="2" t="str">
        <x:v>возвращён</x:v>
      </x:c>
      <x:c r="J121" s="8" t="n">
        <x:f>IF(I121="оплачен",E121*F121-G121,0)</x:f>
        <x:v>0</x:v>
      </x:c>
      <x:c r="K121" s="8" t="n">
        <x:f>IF(I121="оплачен",E121*H121,0)</x:f>
        <x:v>0</x:v>
      </x:c>
      <x:c r="L121" s="8" t="n">
        <x:f>J121-K121</x:f>
        <x:v>0</x:v>
      </x:c>
      <x:c r="M121" s="2" t="str">
        <x:f>TEXT(B121,"yyyy-mm")</x:f>
        <x:v>2026-08</x:v>
      </x:c>
      <x:c r="N121" s="2"/>
      <x:c r="O121" s="2"/>
      <x:c r="P121" s="2"/>
    </x:row>
    <x:row r="122" ht="26" customHeight="1">
      <x:c r="A122" s="2" t="str">
        <x:v>O121</x:v>
      </x:c>
      <x:c r="B122" s="7" t="d">
        <x:v>2026-08-09T00:00:00.000Z</x:v>
      </x:c>
      <x:c r="C122" s="2" t="str">
        <x:v>Настольная лампа</x:v>
      </x:c>
      <x:c r="D122" s="2" t="str">
        <x:v>Соцсети</x:v>
      </x:c>
      <x:c r="E122" s="29" t="n">
        <x:v>4</x:v>
      </x:c>
      <x:c r="F122" s="8" t="n">
        <x:v>2900</x:v>
      </x:c>
      <x:c r="G122" s="8" t="n">
        <x:v>348</x:v>
      </x:c>
      <x:c r="H122" s="8" t="n">
        <x:v>1700</x:v>
      </x:c>
      <x:c r="I122" s="2" t="str">
        <x:v>оплачен</x:v>
      </x:c>
      <x:c r="J122" s="8" t="n">
        <x:f>IF(I122="оплачен",E122*F122-G122,0)</x:f>
        <x:v>11252</x:v>
      </x:c>
      <x:c r="K122" s="8" t="n">
        <x:f>IF(I122="оплачен",E122*H122,0)</x:f>
        <x:v>6800</x:v>
      </x:c>
      <x:c r="L122" s="8" t="n">
        <x:f>J122-K122</x:f>
        <x:v>4452</x:v>
      </x:c>
      <x:c r="M122" s="2" t="str">
        <x:f>TEXT(B122,"yyyy-mm")</x:f>
        <x:v>2026-08</x:v>
      </x:c>
      <x:c r="N122" s="2"/>
      <x:c r="O122" s="2"/>
      <x:c r="P122" s="2"/>
    </x:row>
    <x:row r="123" ht="26" customHeight="1">
      <x:c r="A123" s="2" t="str">
        <x:v>O122</x:v>
      </x:c>
      <x:c r="B123" s="7" t="d">
        <x:v>2026-08-10T00:00:00.000Z</x:v>
      </x:c>
      <x:c r="C123" s="2" t="str">
        <x:v>Термокружка</x:v>
      </x:c>
      <x:c r="D123" s="2" t="str">
        <x:v>Сайт</x:v>
      </x:c>
      <x:c r="E123" s="29" t="n">
        <x:v>4</x:v>
      </x:c>
      <x:c r="F123" s="8" t="n">
        <x:v>1600</x:v>
      </x:c>
      <x:c r="G123" s="8" t="n">
        <x:v>192</x:v>
      </x:c>
      <x:c r="H123" s="8" t="n">
        <x:v>650</x:v>
      </x:c>
      <x:c r="I123" s="2" t="str">
        <x:v>оплачен</x:v>
      </x:c>
      <x:c r="J123" s="8" t="n">
        <x:f>IF(I123="оплачен",E123*F123-G123,0)</x:f>
        <x:v>6208</x:v>
      </x:c>
      <x:c r="K123" s="8" t="n">
        <x:f>IF(I123="оплачен",E123*H123,0)</x:f>
        <x:v>2600</x:v>
      </x:c>
      <x:c r="L123" s="8" t="n">
        <x:f>J123-K123</x:f>
        <x:v>3608</x:v>
      </x:c>
      <x:c r="M123" s="2" t="str">
        <x:f>TEXT(B123,"yyyy-mm")</x:f>
        <x:v>2026-08</x:v>
      </x:c>
      <x:c r="N123" s="2"/>
      <x:c r="O123" s="2"/>
      <x:c r="P123" s="2"/>
    </x:row>
    <x:row r="124" ht="26" customHeight="1">
      <x:c r="A124" s="2" t="str">
        <x:v>O123</x:v>
      </x:c>
      <x:c r="B124" s="7" t="d">
        <x:v>2026-08-11T00:00:00.000Z</x:v>
      </x:c>
      <x:c r="C124" s="2" t="str">
        <x:v>Планер</x:v>
      </x:c>
      <x:c r="D124" s="2" t="str">
        <x:v>Маркетплейс</x:v>
      </x:c>
      <x:c r="E124" s="29" t="n">
        <x:v>1</x:v>
      </x:c>
      <x:c r="F124" s="8" t="n">
        <x:v>800</x:v>
      </x:c>
      <x:c r="G124" s="8" t="n">
        <x:v>96</x:v>
      </x:c>
      <x:c r="H124" s="8" t="n">
        <x:v>280</x:v>
      </x:c>
      <x:c r="I124" s="2" t="str">
        <x:v>оплачен</x:v>
      </x:c>
      <x:c r="J124" s="8" t="n">
        <x:f>IF(I124="оплачен",E124*F124-G124,0)</x:f>
        <x:v>704</x:v>
      </x:c>
      <x:c r="K124" s="8" t="n">
        <x:f>IF(I124="оплачен",E124*H124,0)</x:f>
        <x:v>280</x:v>
      </x:c>
      <x:c r="L124" s="8" t="n">
        <x:f>J124-K124</x:f>
        <x:v>424</x:v>
      </x:c>
      <x:c r="M124" s="2" t="str">
        <x:f>TEXT(B124,"yyyy-mm")</x:f>
        <x:v>2026-08</x:v>
      </x:c>
      <x:c r="N124" s="2"/>
      <x:c r="O124" s="2"/>
      <x:c r="P124" s="2"/>
    </x:row>
    <x:row r="125" ht="26" customHeight="1">
      <x:c r="A125" s="2" t="str">
        <x:v>O124</x:v>
      </x:c>
      <x:c r="B125" s="7" t="d">
        <x:v>2026-08-12T00:00:00.000Z</x:v>
      </x:c>
      <x:c r="C125" s="2" t="str">
        <x:v>Настольная лампа</x:v>
      </x:c>
      <x:c r="D125" s="2" t="str">
        <x:v>Маркетплейс</x:v>
      </x:c>
      <x:c r="E125" s="29" t="n">
        <x:v>1</x:v>
      </x:c>
      <x:c r="F125" s="8" t="n">
        <x:v>2900</x:v>
      </x:c>
      <x:c r="G125" s="8" t="n">
        <x:v>348</x:v>
      </x:c>
      <x:c r="H125" s="8" t="n">
        <x:v>1700</x:v>
      </x:c>
      <x:c r="I125" s="2" t="str">
        <x:v>оплачен</x:v>
      </x:c>
      <x:c r="J125" s="8" t="n">
        <x:f>IF(I125="оплачен",E125*F125-G125,0)</x:f>
        <x:v>2552</x:v>
      </x:c>
      <x:c r="K125" s="8" t="n">
        <x:f>IF(I125="оплачен",E125*H125,0)</x:f>
        <x:v>1700</x:v>
      </x:c>
      <x:c r="L125" s="8" t="n">
        <x:f>J125-K125</x:f>
        <x:v>852</x:v>
      </x:c>
      <x:c r="M125" s="2" t="str">
        <x:f>TEXT(B125,"yyyy-mm")</x:f>
        <x:v>2026-08</x:v>
      </x:c>
      <x:c r="N125" s="2"/>
      <x:c r="O125" s="2"/>
      <x:c r="P125" s="2"/>
    </x:row>
    <x:row r="126" ht="26" customHeight="1">
      <x:c r="A126" s="2" t="str">
        <x:v>O125</x:v>
      </x:c>
      <x:c r="B126" s="7" t="d">
        <x:v>2026-08-13T00:00:00.000Z</x:v>
      </x:c>
      <x:c r="C126" s="2" t="str">
        <x:v>Планер</x:v>
      </x:c>
      <x:c r="D126" s="2" t="str">
        <x:v>Маркетплейс</x:v>
      </x:c>
      <x:c r="E126" s="29" t="n">
        <x:v>1</x:v>
      </x:c>
      <x:c r="F126" s="8" t="n">
        <x:v>800</x:v>
      </x:c>
      <x:c r="G126" s="8" t="n">
        <x:v>96</x:v>
      </x:c>
      <x:c r="H126" s="8" t="n">
        <x:v>280</x:v>
      </x:c>
      <x:c r="I126" s="2" t="str">
        <x:v>оплачен</x:v>
      </x:c>
      <x:c r="J126" s="8" t="n">
        <x:f>IF(I126="оплачен",E126*F126-G126,0)</x:f>
        <x:v>704</x:v>
      </x:c>
      <x:c r="K126" s="8" t="n">
        <x:f>IF(I126="оплачен",E126*H126,0)</x:f>
        <x:v>280</x:v>
      </x:c>
      <x:c r="L126" s="8" t="n">
        <x:f>J126-K126</x:f>
        <x:v>424</x:v>
      </x:c>
      <x:c r="M126" s="2" t="str">
        <x:f>TEXT(B126,"yyyy-mm")</x:f>
        <x:v>2026-08</x:v>
      </x:c>
      <x:c r="N126" s="2"/>
      <x:c r="O126" s="2"/>
      <x:c r="P126" s="2"/>
    </x:row>
    <x:row r="127" ht="26" customHeight="1">
      <x:c r="A127" s="2" t="str">
        <x:v>O126</x:v>
      </x:c>
      <x:c r="B127" s="7" t="d">
        <x:v>2026-08-14T00:00:00.000Z</x:v>
      </x:c>
      <x:c r="C127" s="2" t="str">
        <x:v>Термокружка</x:v>
      </x:c>
      <x:c r="D127" s="2" t="str">
        <x:v>Сайт</x:v>
      </x:c>
      <x:c r="E127" s="29" t="n">
        <x:v>2</x:v>
      </x:c>
      <x:c r="F127" s="8" t="n">
        <x:v>1600</x:v>
      </x:c>
      <x:c r="G127" s="8" t="n">
        <x:v>96</x:v>
      </x:c>
      <x:c r="H127" s="8" t="n">
        <x:v>650</x:v>
      </x:c>
      <x:c r="I127" s="2" t="str">
        <x:v>оплачен</x:v>
      </x:c>
      <x:c r="J127" s="8" t="n">
        <x:f>IF(I127="оплачен",E127*F127-G127,0)</x:f>
        <x:v>3104</x:v>
      </x:c>
      <x:c r="K127" s="8" t="n">
        <x:f>IF(I127="оплачен",E127*H127,0)</x:f>
        <x:v>1300</x:v>
      </x:c>
      <x:c r="L127" s="8" t="n">
        <x:f>J127-K127</x:f>
        <x:v>1804</x:v>
      </x:c>
      <x:c r="M127" s="2" t="str">
        <x:f>TEXT(B127,"yyyy-mm")</x:f>
        <x:v>2026-08</x:v>
      </x:c>
      <x:c r="N127" s="2"/>
      <x:c r="O127" s="2"/>
      <x:c r="P127" s="2"/>
    </x:row>
    <x:row r="128" ht="26" customHeight="1">
      <x:c r="A128" s="2" t="str">
        <x:v>O127</x:v>
      </x:c>
      <x:c r="B128" s="7" t="d">
        <x:v>2026-08-15T00:00:00.000Z</x:v>
      </x:c>
      <x:c r="C128" s="2" t="str">
        <x:v>Планер</x:v>
      </x:c>
      <x:c r="D128" s="2" t="str">
        <x:v>Соцсети</x:v>
      </x:c>
      <x:c r="E128" s="29" t="n">
        <x:v>1</x:v>
      </x:c>
      <x:c r="F128" s="8" t="n">
        <x:v>800</x:v>
      </x:c>
      <x:c r="G128" s="8" t="n">
        <x:v>24</x:v>
      </x:c>
      <x:c r="H128" s="8" t="n">
        <x:v>280</x:v>
      </x:c>
      <x:c r="I128" s="2" t="str">
        <x:v>оплачен</x:v>
      </x:c>
      <x:c r="J128" s="8" t="n">
        <x:f>IF(I128="оплачен",E128*F128-G128,0)</x:f>
        <x:v>776</x:v>
      </x:c>
      <x:c r="K128" s="8" t="n">
        <x:f>IF(I128="оплачен",E128*H128,0)</x:f>
        <x:v>280</x:v>
      </x:c>
      <x:c r="L128" s="8" t="n">
        <x:f>J128-K128</x:f>
        <x:v>496</x:v>
      </x:c>
      <x:c r="M128" s="2" t="str">
        <x:f>TEXT(B128,"yyyy-mm")</x:f>
        <x:v>2026-08</x:v>
      </x:c>
      <x:c r="N128" s="2"/>
      <x:c r="O128" s="2"/>
      <x:c r="P128" s="2"/>
    </x:row>
    <x:row r="129" ht="26" customHeight="1">
      <x:c r="A129" s="2" t="str">
        <x:v>O128</x:v>
      </x:c>
      <x:c r="B129" s="7" t="d">
        <x:v>2026-08-16T00:00:00.000Z</x:v>
      </x:c>
      <x:c r="C129" s="2" t="str">
        <x:v>Планер</x:v>
      </x:c>
      <x:c r="D129" s="2" t="str">
        <x:v>Соцсети</x:v>
      </x:c>
      <x:c r="E129" s="29" t="n">
        <x:v>1</x:v>
      </x:c>
      <x:c r="F129" s="8" t="n">
        <x:v>800</x:v>
      </x:c>
      <x:c r="G129" s="8" t="n">
        <x:v>24</x:v>
      </x:c>
      <x:c r="H129" s="8" t="n">
        <x:v>280</x:v>
      </x:c>
      <x:c r="I129" s="2" t="str">
        <x:v>оплачен</x:v>
      </x:c>
      <x:c r="J129" s="8" t="n">
        <x:f>IF(I129="оплачен",E129*F129-G129,0)</x:f>
        <x:v>776</x:v>
      </x:c>
      <x:c r="K129" s="8" t="n">
        <x:f>IF(I129="оплачен",E129*H129,0)</x:f>
        <x:v>280</x:v>
      </x:c>
      <x:c r="L129" s="8" t="n">
        <x:f>J129-K129</x:f>
        <x:v>496</x:v>
      </x:c>
      <x:c r="M129" s="2" t="str">
        <x:f>TEXT(B129,"yyyy-mm")</x:f>
        <x:v>2026-08</x:v>
      </x:c>
      <x:c r="N129" s="2"/>
      <x:c r="O129" s="2"/>
      <x:c r="P129" s="2"/>
    </x:row>
    <x:row r="130" ht="26" customHeight="1">
      <x:c r="A130" s="2" t="str">
        <x:v>O129</x:v>
      </x:c>
      <x:c r="B130" s="7" t="d">
        <x:v>2026-08-17T00:00:00.000Z</x:v>
      </x:c>
      <x:c r="C130" s="2" t="str">
        <x:v>Термокружка</x:v>
      </x:c>
      <x:c r="D130" s="2" t="str">
        <x:v>Соцсети</x:v>
      </x:c>
      <x:c r="E130" s="29" t="n">
        <x:v>2</x:v>
      </x:c>
      <x:c r="F130" s="8" t="n">
        <x:v>1600</x:v>
      </x:c>
      <x:c r="G130" s="8" t="n">
        <x:v>96</x:v>
      </x:c>
      <x:c r="H130" s="8" t="n">
        <x:v>650</x:v>
      </x:c>
      <x:c r="I130" s="2" t="str">
        <x:v>оплачен</x:v>
      </x:c>
      <x:c r="J130" s="8" t="n">
        <x:f>IF(I130="оплачен",E130*F130-G130,0)</x:f>
        <x:v>3104</x:v>
      </x:c>
      <x:c r="K130" s="8" t="n">
        <x:f>IF(I130="оплачен",E130*H130,0)</x:f>
        <x:v>1300</x:v>
      </x:c>
      <x:c r="L130" s="8" t="n">
        <x:f>J130-K130</x:f>
        <x:v>1804</x:v>
      </x:c>
      <x:c r="M130" s="2" t="str">
        <x:f>TEXT(B130,"yyyy-mm")</x:f>
        <x:v>2026-08</x:v>
      </x:c>
      <x:c r="N130" s="2"/>
      <x:c r="O130" s="2"/>
      <x:c r="P130" s="2"/>
    </x:row>
    <x:row r="131" ht="26" customHeight="1">
      <x:c r="A131" s="2" t="str">
        <x:v>O130</x:v>
      </x:c>
      <x:c r="B131" s="7" t="d">
        <x:v>2026-08-18T00:00:00.000Z</x:v>
      </x:c>
      <x:c r="C131" s="2" t="str">
        <x:v>Рюкзак</x:v>
      </x:c>
      <x:c r="D131" s="2" t="str">
        <x:v>Соцсети</x:v>
      </x:c>
      <x:c r="E131" s="29" t="n">
        <x:v>1</x:v>
      </x:c>
      <x:c r="F131" s="8" t="n">
        <x:v>3600</x:v>
      </x:c>
      <x:c r="G131" s="8" t="n">
        <x:v>108</x:v>
      </x:c>
      <x:c r="H131" s="8" t="n">
        <x:v>1900</x:v>
      </x:c>
      <x:c r="I131" s="2" t="str">
        <x:v>оплачен</x:v>
      </x:c>
      <x:c r="J131" s="8" t="n">
        <x:f>IF(I131="оплачен",E131*F131-G131,0)</x:f>
        <x:v>3492</x:v>
      </x:c>
      <x:c r="K131" s="8" t="n">
        <x:f>IF(I131="оплачен",E131*H131,0)</x:f>
        <x:v>1900</x:v>
      </x:c>
      <x:c r="L131" s="8" t="n">
        <x:f>J131-K131</x:f>
        <x:v>1592</x:v>
      </x:c>
      <x:c r="M131" s="2" t="str">
        <x:f>TEXT(B131,"yyyy-mm")</x:f>
        <x:v>2026-08</x:v>
      </x:c>
      <x:c r="N131" s="2"/>
      <x:c r="O131" s="2"/>
      <x:c r="P131" s="2"/>
    </x:row>
    <x:row r="132" ht="26" customHeight="1">
      <x:c r="A132" s="2" t="str">
        <x:v>O131</x:v>
      </x:c>
      <x:c r="B132" s="7" t="d">
        <x:v>2026-08-19T00:00:00.000Z</x:v>
      </x:c>
      <x:c r="C132" s="2" t="str">
        <x:v>Планер</x:v>
      </x:c>
      <x:c r="D132" s="2" t="str">
        <x:v>Соцсети</x:v>
      </x:c>
      <x:c r="E132" s="29" t="n">
        <x:v>4</x:v>
      </x:c>
      <x:c r="F132" s="8" t="n">
        <x:v>800</x:v>
      </x:c>
      <x:c r="G132" s="8" t="n">
        <x:v>96</x:v>
      </x:c>
      <x:c r="H132" s="8" t="n">
        <x:v>280</x:v>
      </x:c>
      <x:c r="I132" s="2" t="str">
        <x:v>отменён</x:v>
      </x:c>
      <x:c r="J132" s="8" t="n">
        <x:f>IF(I132="оплачен",E132*F132-G132,0)</x:f>
        <x:v>0</x:v>
      </x:c>
      <x:c r="K132" s="8" t="n">
        <x:f>IF(I132="оплачен",E132*H132,0)</x:f>
        <x:v>0</x:v>
      </x:c>
      <x:c r="L132" s="8" t="n">
        <x:f>J132-K132</x:f>
        <x:v>0</x:v>
      </x:c>
      <x:c r="M132" s="2" t="str">
        <x:f>TEXT(B132,"yyyy-mm")</x:f>
        <x:v>2026-08</x:v>
      </x:c>
      <x:c r="N132" s="2"/>
      <x:c r="O132" s="2"/>
      <x:c r="P132" s="2"/>
    </x:row>
    <x:row r="133" ht="26" customHeight="1">
      <x:c r="A133" s="2" t="str">
        <x:v>O132</x:v>
      </x:c>
      <x:c r="B133" s="7" t="d">
        <x:v>2026-08-20T00:00:00.000Z</x:v>
      </x:c>
      <x:c r="C133" s="2" t="str">
        <x:v>Настольная лампа</x:v>
      </x:c>
      <x:c r="D133" s="2" t="str">
        <x:v>Маркетплейс</x:v>
      </x:c>
      <x:c r="E133" s="29" t="n">
        <x:v>1</x:v>
      </x:c>
      <x:c r="F133" s="8" t="n">
        <x:v>2900</x:v>
      </x:c>
      <x:c r="G133" s="8" t="n">
        <x:v>348</x:v>
      </x:c>
      <x:c r="H133" s="8" t="n">
        <x:v>1700</x:v>
      </x:c>
      <x:c r="I133" s="2" t="str">
        <x:v>оплачен</x:v>
      </x:c>
      <x:c r="J133" s="8" t="n">
        <x:f>IF(I133="оплачен",E133*F133-G133,0)</x:f>
        <x:v>2552</x:v>
      </x:c>
      <x:c r="K133" s="8" t="n">
        <x:f>IF(I133="оплачен",E133*H133,0)</x:f>
        <x:v>1700</x:v>
      </x:c>
      <x:c r="L133" s="8" t="n">
        <x:f>J133-K133</x:f>
        <x:v>852</x:v>
      </x:c>
      <x:c r="M133" s="2" t="str">
        <x:f>TEXT(B133,"yyyy-mm")</x:f>
        <x:v>2026-08</x:v>
      </x:c>
      <x:c r="N133" s="2"/>
      <x:c r="O133" s="2"/>
      <x:c r="P133" s="2"/>
    </x:row>
    <x:row r="134" ht="26" customHeight="1">
      <x:c r="A134" s="2" t="str">
        <x:v>O133</x:v>
      </x:c>
      <x:c r="B134" s="7" t="d">
        <x:v>2026-08-21T00:00:00.000Z</x:v>
      </x:c>
      <x:c r="C134" s="2" t="str">
        <x:v>Планер</x:v>
      </x:c>
      <x:c r="D134" s="2" t="str">
        <x:v>Сайт</x:v>
      </x:c>
      <x:c r="E134" s="29" t="n">
        <x:v>4</x:v>
      </x:c>
      <x:c r="F134" s="8" t="n">
        <x:v>800</x:v>
      </x:c>
      <x:c r="G134" s="8" t="n">
        <x:v>96</x:v>
      </x:c>
      <x:c r="H134" s="8" t="n">
        <x:v>280</x:v>
      </x:c>
      <x:c r="I134" s="2" t="str">
        <x:v>оплачен</x:v>
      </x:c>
      <x:c r="J134" s="8" t="n">
        <x:f>IF(I134="оплачен",E134*F134-G134,0)</x:f>
        <x:v>3104</x:v>
      </x:c>
      <x:c r="K134" s="8" t="n">
        <x:f>IF(I134="оплачен",E134*H134,0)</x:f>
        <x:v>1120</x:v>
      </x:c>
      <x:c r="L134" s="8" t="n">
        <x:f>J134-K134</x:f>
        <x:v>1984</x:v>
      </x:c>
      <x:c r="M134" s="2" t="str">
        <x:f>TEXT(B134,"yyyy-mm")</x:f>
        <x:v>2026-08</x:v>
      </x:c>
      <x:c r="N134" s="2"/>
      <x:c r="O134" s="2"/>
      <x:c r="P134" s="2"/>
    </x:row>
    <x:row r="135" ht="26" customHeight="1">
      <x:c r="A135" s="2" t="str">
        <x:v>O134</x:v>
      </x:c>
      <x:c r="B135" s="7" t="d">
        <x:v>2026-08-22T00:00:00.000Z</x:v>
      </x:c>
      <x:c r="C135" s="2" t="str">
        <x:v>Настольная лампа</x:v>
      </x:c>
      <x:c r="D135" s="2" t="str">
        <x:v>Маркетплейс</x:v>
      </x:c>
      <x:c r="E135" s="29" t="n">
        <x:v>3</x:v>
      </x:c>
      <x:c r="F135" s="8" t="n">
        <x:v>2900</x:v>
      </x:c>
      <x:c r="G135" s="8" t="n">
        <x:v>1044</x:v>
      </x:c>
      <x:c r="H135" s="8" t="n">
        <x:v>1700</x:v>
      </x:c>
      <x:c r="I135" s="2" t="str">
        <x:v>оплачен</x:v>
      </x:c>
      <x:c r="J135" s="8" t="n">
        <x:f>IF(I135="оплачен",E135*F135-G135,0)</x:f>
        <x:v>7656</x:v>
      </x:c>
      <x:c r="K135" s="8" t="n">
        <x:f>IF(I135="оплачен",E135*H135,0)</x:f>
        <x:v>5100</x:v>
      </x:c>
      <x:c r="L135" s="8" t="n">
        <x:f>J135-K135</x:f>
        <x:v>2556</x:v>
      </x:c>
      <x:c r="M135" s="2" t="str">
        <x:f>TEXT(B135,"yyyy-mm")</x:f>
        <x:v>2026-08</x:v>
      </x:c>
      <x:c r="N135" s="2"/>
      <x:c r="O135" s="2"/>
      <x:c r="P135" s="2"/>
    </x:row>
    <x:row r="136" ht="26" customHeight="1">
      <x:c r="A136" s="2" t="str">
        <x:v>O135</x:v>
      </x:c>
      <x:c r="B136" s="7" t="d">
        <x:v>2026-08-23T00:00:00.000Z</x:v>
      </x:c>
      <x:c r="C136" s="2" t="str">
        <x:v>Настольная лампа</x:v>
      </x:c>
      <x:c r="D136" s="2" t="str">
        <x:v>Маркетплейс</x:v>
      </x:c>
      <x:c r="E136" s="29" t="n">
        <x:v>4</x:v>
      </x:c>
      <x:c r="F136" s="8" t="n">
        <x:v>2900</x:v>
      </x:c>
      <x:c r="G136" s="8" t="n">
        <x:v>1392</x:v>
      </x:c>
      <x:c r="H136" s="8" t="n">
        <x:v>1700</x:v>
      </x:c>
      <x:c r="I136" s="2" t="str">
        <x:v>оплачен</x:v>
      </x:c>
      <x:c r="J136" s="8" t="n">
        <x:f>IF(I136="оплачен",E136*F136-G136,0)</x:f>
        <x:v>10208</x:v>
      </x:c>
      <x:c r="K136" s="8" t="n">
        <x:f>IF(I136="оплачен",E136*H136,0)</x:f>
        <x:v>6800</x:v>
      </x:c>
      <x:c r="L136" s="8" t="n">
        <x:f>J136-K136</x:f>
        <x:v>3408</x:v>
      </x:c>
      <x:c r="M136" s="2" t="str">
        <x:f>TEXT(B136,"yyyy-mm")</x:f>
        <x:v>2026-08</x:v>
      </x:c>
      <x:c r="N136" s="2"/>
      <x:c r="O136" s="2"/>
      <x:c r="P136" s="2"/>
    </x:row>
    <x:row r="137" ht="26" customHeight="1">
      <x:c r="A137" s="2" t="str">
        <x:v>O136</x:v>
      </x:c>
      <x:c r="B137" s="7" t="d">
        <x:v>2026-08-24T00:00:00.000Z</x:v>
      </x:c>
      <x:c r="C137" s="2" t="str">
        <x:v>Планер</x:v>
      </x:c>
      <x:c r="D137" s="2" t="str">
        <x:v>Маркетплейс</x:v>
      </x:c>
      <x:c r="E137" s="29" t="n">
        <x:v>2</x:v>
      </x:c>
      <x:c r="F137" s="8" t="n">
        <x:v>800</x:v>
      </x:c>
      <x:c r="G137" s="8" t="n">
        <x:v>192</x:v>
      </x:c>
      <x:c r="H137" s="8" t="n">
        <x:v>280</x:v>
      </x:c>
      <x:c r="I137" s="2" t="str">
        <x:v>оплачен</x:v>
      </x:c>
      <x:c r="J137" s="8" t="n">
        <x:f>IF(I137="оплачен",E137*F137-G137,0)</x:f>
        <x:v>1408</x:v>
      </x:c>
      <x:c r="K137" s="8" t="n">
        <x:f>IF(I137="оплачен",E137*H137,0)</x:f>
        <x:v>560</x:v>
      </x:c>
      <x:c r="L137" s="8" t="n">
        <x:f>J137-K137</x:f>
        <x:v>848</x:v>
      </x:c>
      <x:c r="M137" s="2" t="str">
        <x:f>TEXT(B137,"yyyy-mm")</x:f>
        <x:v>2026-08</x:v>
      </x:c>
      <x:c r="N137" s="2"/>
      <x:c r="O137" s="2"/>
      <x:c r="P137" s="2"/>
    </x:row>
    <x:row r="138" ht="26" customHeight="1">
      <x:c r="A138" s="2" t="str">
        <x:v>O137</x:v>
      </x:c>
      <x:c r="B138" s="7" t="d">
        <x:v>2026-08-25T00:00:00.000Z</x:v>
      </x:c>
      <x:c r="C138" s="2" t="str">
        <x:v>Планер</x:v>
      </x:c>
      <x:c r="D138" s="2" t="str">
        <x:v>Маркетплейс</x:v>
      </x:c>
      <x:c r="E138" s="29" t="n">
        <x:v>1</x:v>
      </x:c>
      <x:c r="F138" s="8" t="n">
        <x:v>800</x:v>
      </x:c>
      <x:c r="G138" s="8" t="n">
        <x:v>96</x:v>
      </x:c>
      <x:c r="H138" s="8" t="n">
        <x:v>280</x:v>
      </x:c>
      <x:c r="I138" s="2" t="str">
        <x:v>возвращён</x:v>
      </x:c>
      <x:c r="J138" s="8" t="n">
        <x:f>IF(I138="оплачен",E138*F138-G138,0)</x:f>
        <x:v>0</x:v>
      </x:c>
      <x:c r="K138" s="8" t="n">
        <x:f>IF(I138="оплачен",E138*H138,0)</x:f>
        <x:v>0</x:v>
      </x:c>
      <x:c r="L138" s="8" t="n">
        <x:f>J138-K138</x:f>
        <x:v>0</x:v>
      </x:c>
      <x:c r="M138" s="2" t="str">
        <x:f>TEXT(B138,"yyyy-mm")</x:f>
        <x:v>2026-08</x:v>
      </x:c>
      <x:c r="N138" s="2"/>
      <x:c r="O138" s="2"/>
      <x:c r="P138" s="2"/>
    </x:row>
    <x:row r="139" ht="26" customHeight="1">
      <x:c r="A139" s="2" t="str">
        <x:v>O138</x:v>
      </x:c>
      <x:c r="B139" s="7" t="d">
        <x:v>2026-08-26T00:00:00.000Z</x:v>
      </x:c>
      <x:c r="C139" s="2" t="str">
        <x:v>Планер</x:v>
      </x:c>
      <x:c r="D139" s="2" t="str">
        <x:v>Маркетплейс</x:v>
      </x:c>
      <x:c r="E139" s="29" t="n">
        <x:v>1</x:v>
      </x:c>
      <x:c r="F139" s="8" t="n">
        <x:v>800</x:v>
      </x:c>
      <x:c r="G139" s="8" t="n">
        <x:v>96</x:v>
      </x:c>
      <x:c r="H139" s="8" t="n">
        <x:v>280</x:v>
      </x:c>
      <x:c r="I139" s="2" t="str">
        <x:v>оплачен</x:v>
      </x:c>
      <x:c r="J139" s="8" t="n">
        <x:f>IF(I139="оплачен",E139*F139-G139,0)</x:f>
        <x:v>704</x:v>
      </x:c>
      <x:c r="K139" s="8" t="n">
        <x:f>IF(I139="оплачен",E139*H139,0)</x:f>
        <x:v>280</x:v>
      </x:c>
      <x:c r="L139" s="8" t="n">
        <x:f>J139-K139</x:f>
        <x:v>424</x:v>
      </x:c>
      <x:c r="M139" s="2" t="str">
        <x:f>TEXT(B139,"yyyy-mm")</x:f>
        <x:v>2026-08</x:v>
      </x:c>
      <x:c r="N139" s="2"/>
      <x:c r="O139" s="2"/>
      <x:c r="P139" s="2"/>
    </x:row>
    <x:row r="140" ht="26" customHeight="1">
      <x:c r="A140" s="2" t="str">
        <x:v>O139</x:v>
      </x:c>
      <x:c r="B140" s="7" t="d">
        <x:v>2026-08-27T00:00:00.000Z</x:v>
      </x:c>
      <x:c r="C140" s="2" t="str">
        <x:v>Настольная лампа</x:v>
      </x:c>
      <x:c r="D140" s="2" t="str">
        <x:v>Маркетплейс</x:v>
      </x:c>
      <x:c r="E140" s="29" t="n">
        <x:v>4</x:v>
      </x:c>
      <x:c r="F140" s="8" t="n">
        <x:v>2900</x:v>
      </x:c>
      <x:c r="G140" s="8" t="n">
        <x:v>1392</x:v>
      </x:c>
      <x:c r="H140" s="8" t="n">
        <x:v>1700</x:v>
      </x:c>
      <x:c r="I140" s="2" t="str">
        <x:v>оплачен</x:v>
      </x:c>
      <x:c r="J140" s="8" t="n">
        <x:f>IF(I140="оплачен",E140*F140-G140,0)</x:f>
        <x:v>10208</x:v>
      </x:c>
      <x:c r="K140" s="8" t="n">
        <x:f>IF(I140="оплачен",E140*H140,0)</x:f>
        <x:v>6800</x:v>
      </x:c>
      <x:c r="L140" s="8" t="n">
        <x:f>J140-K140</x:f>
        <x:v>3408</x:v>
      </x:c>
      <x:c r="M140" s="2" t="str">
        <x:f>TEXT(B140,"yyyy-mm")</x:f>
        <x:v>2026-08</x:v>
      </x:c>
      <x:c r="N140" s="2"/>
      <x:c r="O140" s="2"/>
      <x:c r="P140" s="2"/>
    </x:row>
    <x:row r="141" ht="26" customHeight="1">
      <x:c r="A141" s="2" t="str">
        <x:v>O140</x:v>
      </x:c>
      <x:c r="B141" s="7" t="d">
        <x:v>2026-08-28T00:00:00.000Z</x:v>
      </x:c>
      <x:c r="C141" s="2" t="str">
        <x:v>Планер</x:v>
      </x:c>
      <x:c r="D141" s="2" t="str">
        <x:v>Маркетплейс</x:v>
      </x:c>
      <x:c r="E141" s="29" t="n">
        <x:v>1</x:v>
      </x:c>
      <x:c r="F141" s="8" t="n">
        <x:v>800</x:v>
      </x:c>
      <x:c r="G141" s="8" t="n">
        <x:v>96</x:v>
      </x:c>
      <x:c r="H141" s="8" t="n">
        <x:v>280</x:v>
      </x:c>
      <x:c r="I141" s="2" t="str">
        <x:v>оплачен</x:v>
      </x:c>
      <x:c r="J141" s="8" t="n">
        <x:f>IF(I141="оплачен",E141*F141-G141,0)</x:f>
        <x:v>704</x:v>
      </x:c>
      <x:c r="K141" s="8" t="n">
        <x:f>IF(I141="оплачен",E141*H141,0)</x:f>
        <x:v>280</x:v>
      </x:c>
      <x:c r="L141" s="8" t="n">
        <x:f>J141-K141</x:f>
        <x:v>424</x:v>
      </x:c>
      <x:c r="M141" s="2" t="str">
        <x:f>TEXT(B141,"yyyy-mm")</x:f>
        <x:v>2026-08</x:v>
      </x:c>
      <x:c r="N141" s="2"/>
      <x:c r="O141" s="2"/>
      <x:c r="P141" s="2"/>
    </x:row>
    <x:row r="142" ht="26" customHeight="1">
      <x:c r="A142" s="2" t="str">
        <x:v>O141</x:v>
      </x:c>
      <x:c r="B142" s="7" t="d">
        <x:v>2026-08-01T00:00:00.000Z</x:v>
      </x:c>
      <x:c r="C142" s="2" t="str">
        <x:v>Планер</x:v>
      </x:c>
      <x:c r="D142" s="2" t="str">
        <x:v>Соцсети</x:v>
      </x:c>
      <x:c r="E142" s="29" t="n">
        <x:v>2</x:v>
      </x:c>
      <x:c r="F142" s="8" t="n">
        <x:v>800</x:v>
      </x:c>
      <x:c r="G142" s="8" t="n">
        <x:v>48</x:v>
      </x:c>
      <x:c r="H142" s="8" t="n">
        <x:v>280</x:v>
      </x:c>
      <x:c r="I142" s="2" t="str">
        <x:v>оплачен</x:v>
      </x:c>
      <x:c r="J142" s="8" t="n">
        <x:f>IF(I142="оплачен",E142*F142-G142,0)</x:f>
        <x:v>1552</x:v>
      </x:c>
      <x:c r="K142" s="8" t="n">
        <x:f>IF(I142="оплачен",E142*H142,0)</x:f>
        <x:v>560</x:v>
      </x:c>
      <x:c r="L142" s="8" t="n">
        <x:f>J142-K142</x:f>
        <x:v>992</x:v>
      </x:c>
      <x:c r="M142" s="2" t="str">
        <x:f>TEXT(B142,"yyyy-mm")</x:f>
        <x:v>2026-08</x:v>
      </x:c>
      <x:c r="N142" s="2"/>
      <x:c r="O142" s="2"/>
      <x:c r="P142" s="2"/>
    </x:row>
    <x:row r="143" ht="26" customHeight="1">
      <x:c r="A143" s="2" t="str">
        <x:v>O142</x:v>
      </x:c>
      <x:c r="B143" s="7" t="d">
        <x:v>2026-08-02T00:00:00.000Z</x:v>
      </x:c>
      <x:c r="C143" s="2" t="str">
        <x:v>Настольная лампа</x:v>
      </x:c>
      <x:c r="D143" s="2" t="str">
        <x:v>Маркетплейс</x:v>
      </x:c>
      <x:c r="E143" s="29" t="n">
        <x:v>3</x:v>
      </x:c>
      <x:c r="F143" s="8" t="n">
        <x:v>2900</x:v>
      </x:c>
      <x:c r="G143" s="8" t="n">
        <x:v>1044</x:v>
      </x:c>
      <x:c r="H143" s="8" t="n">
        <x:v>1700</x:v>
      </x:c>
      <x:c r="I143" s="2" t="str">
        <x:v>оплачен</x:v>
      </x:c>
      <x:c r="J143" s="8" t="n">
        <x:f>IF(I143="оплачен",E143*F143-G143,0)</x:f>
        <x:v>7656</x:v>
      </x:c>
      <x:c r="K143" s="8" t="n">
        <x:f>IF(I143="оплачен",E143*H143,0)</x:f>
        <x:v>5100</x:v>
      </x:c>
      <x:c r="L143" s="8" t="n">
        <x:f>J143-K143</x:f>
        <x:v>2556</x:v>
      </x:c>
      <x:c r="M143" s="2" t="str">
        <x:f>TEXT(B143,"yyyy-mm")</x:f>
        <x:v>2026-08</x:v>
      </x:c>
      <x:c r="N143" s="2"/>
      <x:c r="O143" s="2"/>
      <x:c r="P143" s="2"/>
    </x:row>
    <x:row r="144" ht="26" customHeight="1">
      <x:c r="A144" s="2" t="str">
        <x:v>O143</x:v>
      </x:c>
      <x:c r="B144" s="7" t="d">
        <x:v>2026-08-03T00:00:00.000Z</x:v>
      </x:c>
      <x:c r="C144" s="2" t="str">
        <x:v>Планер</x:v>
      </x:c>
      <x:c r="D144" s="2" t="str">
        <x:v>Маркетплейс</x:v>
      </x:c>
      <x:c r="E144" s="29" t="n">
        <x:v>2</x:v>
      </x:c>
      <x:c r="F144" s="8" t="n">
        <x:v>800</x:v>
      </x:c>
      <x:c r="G144" s="8" t="n">
        <x:v>192</x:v>
      </x:c>
      <x:c r="H144" s="8" t="n">
        <x:v>280</x:v>
      </x:c>
      <x:c r="I144" s="2" t="str">
        <x:v>оплачен</x:v>
      </x:c>
      <x:c r="J144" s="8" t="n">
        <x:f>IF(I144="оплачен",E144*F144-G144,0)</x:f>
        <x:v>1408</x:v>
      </x:c>
      <x:c r="K144" s="8" t="n">
        <x:f>IF(I144="оплачен",E144*H144,0)</x:f>
        <x:v>560</x:v>
      </x:c>
      <x:c r="L144" s="8" t="n">
        <x:f>J144-K144</x:f>
        <x:v>848</x:v>
      </x:c>
      <x:c r="M144" s="2" t="str">
        <x:f>TEXT(B144,"yyyy-mm")</x:f>
        <x:v>2026-08</x:v>
      </x:c>
      <x:c r="N144" s="2"/>
      <x:c r="O144" s="2"/>
      <x:c r="P144" s="2"/>
    </x:row>
    <x:row r="145" ht="26" customHeight="1">
      <x:c r="A145" s="2" t="str">
        <x:v>O144</x:v>
      </x:c>
      <x:c r="B145" s="7" t="d">
        <x:v>2026-08-04T00:00:00.000Z</x:v>
      </x:c>
      <x:c r="C145" s="2" t="str">
        <x:v>Планер</x:v>
      </x:c>
      <x:c r="D145" s="2" t="str">
        <x:v>Маркетплейс</x:v>
      </x:c>
      <x:c r="E145" s="29" t="n">
        <x:v>4</x:v>
      </x:c>
      <x:c r="F145" s="8" t="n">
        <x:v>800</x:v>
      </x:c>
      <x:c r="G145" s="8" t="n">
        <x:v>384</x:v>
      </x:c>
      <x:c r="H145" s="8" t="n">
        <x:v>280</x:v>
      </x:c>
      <x:c r="I145" s="2" t="str">
        <x:v>отменён</x:v>
      </x:c>
      <x:c r="J145" s="8" t="n">
        <x:f>IF(I145="оплачен",E145*F145-G145,0)</x:f>
        <x:v>0</x:v>
      </x:c>
      <x:c r="K145" s="8" t="n">
        <x:f>IF(I145="оплачен",E145*H145,0)</x:f>
        <x:v>0</x:v>
      </x:c>
      <x:c r="L145" s="8" t="n">
        <x:f>J145-K145</x:f>
        <x:v>0</x:v>
      </x:c>
      <x:c r="M145" s="2" t="str">
        <x:f>TEXT(B145,"yyyy-mm")</x:f>
        <x:v>2026-08</x:v>
      </x:c>
      <x:c r="N145" s="2"/>
      <x:c r="O145" s="2"/>
      <x:c r="P145" s="2"/>
    </x:row>
    <x:row r="146" ht="26" customHeight="1">
      <x:c r="A146" s="2" t="str">
        <x:v>O145</x:v>
      </x:c>
      <x:c r="B146" s="7" t="d">
        <x:v>2026-08-05T00:00:00.000Z</x:v>
      </x:c>
      <x:c r="C146" s="2" t="str">
        <x:v>Настольная лампа</x:v>
      </x:c>
      <x:c r="D146" s="2" t="str">
        <x:v>Соцсети</x:v>
      </x:c>
      <x:c r="E146" s="29" t="n">
        <x:v>3</x:v>
      </x:c>
      <x:c r="F146" s="8" t="n">
        <x:v>2900</x:v>
      </x:c>
      <x:c r="G146" s="8" t="n">
        <x:v>261</x:v>
      </x:c>
      <x:c r="H146" s="8" t="n">
        <x:v>1700</x:v>
      </x:c>
      <x:c r="I146" s="2" t="str">
        <x:v>оплачен</x:v>
      </x:c>
      <x:c r="J146" s="8" t="n">
        <x:f>IF(I146="оплачен",E146*F146-G146,0)</x:f>
        <x:v>8439</x:v>
      </x:c>
      <x:c r="K146" s="8" t="n">
        <x:f>IF(I146="оплачен",E146*H146,0)</x:f>
        <x:v>5100</x:v>
      </x:c>
      <x:c r="L146" s="8" t="n">
        <x:f>J146-K146</x:f>
        <x:v>3339</x:v>
      </x:c>
      <x:c r="M146" s="2" t="str">
        <x:f>TEXT(B146,"yyyy-mm")</x:f>
        <x:v>2026-08</x:v>
      </x:c>
      <x:c r="N146" s="2"/>
      <x:c r="O146" s="2"/>
      <x:c r="P146" s="2"/>
    </x:row>
    <x:row r="147" ht="26" customHeight="1">
      <x:c r="A147" s="2" t="str">
        <x:v>O146</x:v>
      </x:c>
      <x:c r="B147" s="7" t="d">
        <x:v>2026-08-06T00:00:00.000Z</x:v>
      </x:c>
      <x:c r="C147" s="2" t="str">
        <x:v>Рюкзак</x:v>
      </x:c>
      <x:c r="D147" s="2" t="str">
        <x:v>Маркетплейс</x:v>
      </x:c>
      <x:c r="E147" s="29" t="n">
        <x:v>4</x:v>
      </x:c>
      <x:c r="F147" s="8" t="n">
        <x:v>3600</x:v>
      </x:c>
      <x:c r="G147" s="8" t="n">
        <x:v>1728</x:v>
      </x:c>
      <x:c r="H147" s="8" t="n">
        <x:v>1900</x:v>
      </x:c>
      <x:c r="I147" s="2" t="str">
        <x:v>оплачен</x:v>
      </x:c>
      <x:c r="J147" s="8" t="n">
        <x:f>IF(I147="оплачен",E147*F147-G147,0)</x:f>
        <x:v>12672</x:v>
      </x:c>
      <x:c r="K147" s="8" t="n">
        <x:f>IF(I147="оплачен",E147*H147,0)</x:f>
        <x:v>7600</x:v>
      </x:c>
      <x:c r="L147" s="8" t="n">
        <x:f>J147-K147</x:f>
        <x:v>5072</x:v>
      </x:c>
      <x:c r="M147" s="2" t="str">
        <x:f>TEXT(B147,"yyyy-mm")</x:f>
        <x:v>2026-08</x:v>
      </x:c>
      <x:c r="N147" s="2"/>
      <x:c r="O147" s="2"/>
      <x:c r="P147" s="2"/>
    </x:row>
    <x:row r="148" ht="26" customHeight="1">
      <x:c r="A148" s="2" t="str">
        <x:v>O147</x:v>
      </x:c>
      <x:c r="B148" s="7" t="d">
        <x:v>2026-08-07T00:00:00.000Z</x:v>
      </x:c>
      <x:c r="C148" s="2" t="str">
        <x:v>Рюкзак</x:v>
      </x:c>
      <x:c r="D148" s="2" t="str">
        <x:v>Маркетплейс</x:v>
      </x:c>
      <x:c r="E148" s="29" t="n">
        <x:v>1</x:v>
      </x:c>
      <x:c r="F148" s="8" t="n">
        <x:v>3600</x:v>
      </x:c>
      <x:c r="G148" s="8" t="n">
        <x:v>432</x:v>
      </x:c>
      <x:c r="H148" s="8" t="n">
        <x:v>1900</x:v>
      </x:c>
      <x:c r="I148" s="2" t="str">
        <x:v>оплачен</x:v>
      </x:c>
      <x:c r="J148" s="8" t="n">
        <x:f>IF(I148="оплачен",E148*F148-G148,0)</x:f>
        <x:v>3168</x:v>
      </x:c>
      <x:c r="K148" s="8" t="n">
        <x:f>IF(I148="оплачен",E148*H148,0)</x:f>
        <x:v>1900</x:v>
      </x:c>
      <x:c r="L148" s="8" t="n">
        <x:f>J148-K148</x:f>
        <x:v>1268</x:v>
      </x:c>
      <x:c r="M148" s="2" t="str">
        <x:f>TEXT(B148,"yyyy-mm")</x:f>
        <x:v>2026-08</x:v>
      </x:c>
      <x:c r="N148" s="2"/>
      <x:c r="O148" s="2"/>
      <x:c r="P148" s="2"/>
    </x:row>
    <x:row r="149" ht="26" customHeight="1">
      <x:c r="A149" s="2" t="str">
        <x:v>O148</x:v>
      </x:c>
      <x:c r="B149" s="7" t="d">
        <x:v>2026-08-08T00:00:00.000Z</x:v>
      </x:c>
      <x:c r="C149" s="2" t="str">
        <x:v>Планер</x:v>
      </x:c>
      <x:c r="D149" s="2" t="str">
        <x:v>Соцсети</x:v>
      </x:c>
      <x:c r="E149" s="29" t="n">
        <x:v>1</x:v>
      </x:c>
      <x:c r="F149" s="8" t="n">
        <x:v>800</x:v>
      </x:c>
      <x:c r="G149" s="8" t="n">
        <x:v>24</x:v>
      </x:c>
      <x:c r="H149" s="8" t="n">
        <x:v>280</x:v>
      </x:c>
      <x:c r="I149" s="2" t="str">
        <x:v>оплачен</x:v>
      </x:c>
      <x:c r="J149" s="8" t="n">
        <x:f>IF(I149="оплачен",E149*F149-G149,0)</x:f>
        <x:v>776</x:v>
      </x:c>
      <x:c r="K149" s="8" t="n">
        <x:f>IF(I149="оплачен",E149*H149,0)</x:f>
        <x:v>280</x:v>
      </x:c>
      <x:c r="L149" s="8" t="n">
        <x:f>J149-K149</x:f>
        <x:v>496</x:v>
      </x:c>
      <x:c r="M149" s="2" t="str">
        <x:f>TEXT(B149,"yyyy-mm")</x:f>
        <x:v>2026-08</x:v>
      </x:c>
      <x:c r="N149" s="2"/>
      <x:c r="O149" s="2"/>
      <x:c r="P149" s="2"/>
    </x:row>
    <x:row r="150" ht="26" customHeight="1">
      <x:c r="A150" s="2" t="str">
        <x:v>O149</x:v>
      </x:c>
      <x:c r="B150" s="7" t="d">
        <x:v>2026-08-09T00:00:00.000Z</x:v>
      </x:c>
      <x:c r="C150" s="2" t="str">
        <x:v>Рюкзак</x:v>
      </x:c>
      <x:c r="D150" s="2" t="str">
        <x:v>Маркетплейс</x:v>
      </x:c>
      <x:c r="E150" s="29" t="n">
        <x:v>1</x:v>
      </x:c>
      <x:c r="F150" s="8" t="n">
        <x:v>3600</x:v>
      </x:c>
      <x:c r="G150" s="8" t="n">
        <x:v>432</x:v>
      </x:c>
      <x:c r="H150" s="8" t="n">
        <x:v>1900</x:v>
      </x:c>
      <x:c r="I150" s="2" t="str">
        <x:v>оплачен</x:v>
      </x:c>
      <x:c r="J150" s="8" t="n">
        <x:f>IF(I150="оплачен",E150*F150-G150,0)</x:f>
        <x:v>3168</x:v>
      </x:c>
      <x:c r="K150" s="8" t="n">
        <x:f>IF(I150="оплачен",E150*H150,0)</x:f>
        <x:v>1900</x:v>
      </x:c>
      <x:c r="L150" s="8" t="n">
        <x:f>J150-K150</x:f>
        <x:v>1268</x:v>
      </x:c>
      <x:c r="M150" s="2" t="str">
        <x:f>TEXT(B150,"yyyy-mm")</x:f>
        <x:v>2026-08</x:v>
      </x:c>
      <x:c r="N150" s="2"/>
      <x:c r="O150" s="2"/>
      <x:c r="P150" s="2"/>
    </x:row>
    <x:row r="151" ht="26" customHeight="1">
      <x:c r="A151" s="2" t="str">
        <x:v>O150</x:v>
      </x:c>
      <x:c r="B151" s="7" t="d">
        <x:v>2026-08-10T00:00:00.000Z</x:v>
      </x:c>
      <x:c r="C151" s="2" t="str">
        <x:v>Термокружка</x:v>
      </x:c>
      <x:c r="D151" s="2" t="str">
        <x:v>Соцсети</x:v>
      </x:c>
      <x:c r="E151" s="29" t="n">
        <x:v>1</x:v>
      </x:c>
      <x:c r="F151" s="8" t="n">
        <x:v>1600</x:v>
      </x:c>
      <x:c r="G151" s="8" t="n">
        <x:v>48</x:v>
      </x:c>
      <x:c r="H151" s="8" t="n">
        <x:v>650</x:v>
      </x:c>
      <x:c r="I151" s="2" t="str">
        <x:v>оплачен</x:v>
      </x:c>
      <x:c r="J151" s="8" t="n">
        <x:f>IF(I151="оплачен",E151*F151-G151,0)</x:f>
        <x:v>1552</x:v>
      </x:c>
      <x:c r="K151" s="8" t="n">
        <x:f>IF(I151="оплачен",E151*H151,0)</x:f>
        <x:v>650</x:v>
      </x:c>
      <x:c r="L151" s="8" t="n">
        <x:f>J151-K151</x:f>
        <x:v>902</x:v>
      </x:c>
      <x:c r="M151" s="2" t="str">
        <x:f>TEXT(B151,"yyyy-mm")</x:f>
        <x:v>2026-08</x:v>
      </x:c>
      <x:c r="N151" s="2"/>
      <x:c r="O151" s="2"/>
      <x:c r="P151" s="2"/>
    </x:row>
    <x:row r="152" ht="26" customHeight="1">
      <x:c r="A152" s="2" t="str">
        <x:v>O151</x:v>
      </x:c>
      <x:c r="B152" s="7" t="d">
        <x:v>2026-08-11T00:00:00.000Z</x:v>
      </x:c>
      <x:c r="C152" s="2" t="str">
        <x:v>Термокружка</x:v>
      </x:c>
      <x:c r="D152" s="2" t="str">
        <x:v>Маркетплейс</x:v>
      </x:c>
      <x:c r="E152" s="29" t="n">
        <x:v>3</x:v>
      </x:c>
      <x:c r="F152" s="8" t="n">
        <x:v>1600</x:v>
      </x:c>
      <x:c r="G152" s="8" t="n">
        <x:v>576</x:v>
      </x:c>
      <x:c r="H152" s="8" t="n">
        <x:v>650</x:v>
      </x:c>
      <x:c r="I152" s="2" t="str">
        <x:v>оплачен</x:v>
      </x:c>
      <x:c r="J152" s="8" t="n">
        <x:f>IF(I152="оплачен",E152*F152-G152,0)</x:f>
        <x:v>4224</x:v>
      </x:c>
      <x:c r="K152" s="8" t="n">
        <x:f>IF(I152="оплачен",E152*H152,0)</x:f>
        <x:v>1950</x:v>
      </x:c>
      <x:c r="L152" s="8" t="n">
        <x:f>J152-K152</x:f>
        <x:v>2274</x:v>
      </x:c>
      <x:c r="M152" s="2" t="str">
        <x:f>TEXT(B152,"yyyy-mm")</x:f>
        <x:v>2026-08</x:v>
      </x:c>
      <x:c r="N152" s="2"/>
      <x:c r="O152" s="2"/>
      <x:c r="P152" s="2"/>
    </x:row>
    <x:row r="153" ht="26" customHeight="1">
      <x:c r="A153" s="2" t="str">
        <x:v>O152</x:v>
      </x:c>
      <x:c r="B153" s="7" t="d">
        <x:v>2026-08-12T00:00:00.000Z</x:v>
      </x:c>
      <x:c r="C153" s="2" t="str">
        <x:v>Термокружка</x:v>
      </x:c>
      <x:c r="D153" s="2" t="str">
        <x:v>Маркетплейс</x:v>
      </x:c>
      <x:c r="E153" s="29" t="n">
        <x:v>2</x:v>
      </x:c>
      <x:c r="F153" s="8" t="n">
        <x:v>1600</x:v>
      </x:c>
      <x:c r="G153" s="8" t="n">
        <x:v>384</x:v>
      </x:c>
      <x:c r="H153" s="8" t="n">
        <x:v>650</x:v>
      </x:c>
      <x:c r="I153" s="2" t="str">
        <x:v>оплачен</x:v>
      </x:c>
      <x:c r="J153" s="8" t="n">
        <x:f>IF(I153="оплачен",E153*F153-G153,0)</x:f>
        <x:v>2816</x:v>
      </x:c>
      <x:c r="K153" s="8" t="n">
        <x:f>IF(I153="оплачен",E153*H153,0)</x:f>
        <x:v>1300</x:v>
      </x:c>
      <x:c r="L153" s="8" t="n">
        <x:f>J153-K153</x:f>
        <x:v>1516</x:v>
      </x:c>
      <x:c r="M153" s="2" t="str">
        <x:f>TEXT(B153,"yyyy-mm")</x:f>
        <x:v>2026-08</x:v>
      </x:c>
      <x:c r="N153" s="2"/>
      <x:c r="O153" s="2"/>
      <x:c r="P153" s="2"/>
    </x:row>
    <x:row r="154" ht="26" customHeight="1">
      <x:c r="A154" s="2" t="str">
        <x:v>O153</x:v>
      </x:c>
      <x:c r="B154" s="7" t="d">
        <x:v>2026-08-13T00:00:00.000Z</x:v>
      </x:c>
      <x:c r="C154" s="2" t="str">
        <x:v>Термокружка</x:v>
      </x:c>
      <x:c r="D154" s="2" t="str">
        <x:v>Соцсети</x:v>
      </x:c>
      <x:c r="E154" s="29" t="n">
        <x:v>2</x:v>
      </x:c>
      <x:c r="F154" s="8" t="n">
        <x:v>1600</x:v>
      </x:c>
      <x:c r="G154" s="8" t="n">
        <x:v>96</x:v>
      </x:c>
      <x:c r="H154" s="8" t="n">
        <x:v>650</x:v>
      </x:c>
      <x:c r="I154" s="2" t="str">
        <x:v>оплачен</x:v>
      </x:c>
      <x:c r="J154" s="8" t="n">
        <x:f>IF(I154="оплачен",E154*F154-G154,0)</x:f>
        <x:v>3104</x:v>
      </x:c>
      <x:c r="K154" s="8" t="n">
        <x:f>IF(I154="оплачен",E154*H154,0)</x:f>
        <x:v>1300</x:v>
      </x:c>
      <x:c r="L154" s="8" t="n">
        <x:f>J154-K154</x:f>
        <x:v>1804</x:v>
      </x:c>
      <x:c r="M154" s="2" t="str">
        <x:f>TEXT(B154,"yyyy-mm")</x:f>
        <x:v>2026-08</x:v>
      </x:c>
      <x:c r="N154" s="2"/>
      <x:c r="O154" s="2"/>
      <x:c r="P154" s="2"/>
    </x:row>
    <x:row r="155" ht="26" customHeight="1">
      <x:c r="A155" s="2" t="str">
        <x:v>O154</x:v>
      </x:c>
      <x:c r="B155" s="7" t="d">
        <x:v>2026-08-14T00:00:00.000Z</x:v>
      </x:c>
      <x:c r="C155" s="2" t="str">
        <x:v>Настольная лампа</x:v>
      </x:c>
      <x:c r="D155" s="2" t="str">
        <x:v>Сайт</x:v>
      </x:c>
      <x:c r="E155" s="29" t="n">
        <x:v>2</x:v>
      </x:c>
      <x:c r="F155" s="8" t="n">
        <x:v>2900</x:v>
      </x:c>
      <x:c r="G155" s="8" t="n">
        <x:v>174</x:v>
      </x:c>
      <x:c r="H155" s="8" t="n">
        <x:v>1700</x:v>
      </x:c>
      <x:c r="I155" s="2" t="str">
        <x:v>возвращён</x:v>
      </x:c>
      <x:c r="J155" s="8" t="n">
        <x:f>IF(I155="оплачен",E155*F155-G155,0)</x:f>
        <x:v>0</x:v>
      </x:c>
      <x:c r="K155" s="8" t="n">
        <x:f>IF(I155="оплачен",E155*H155,0)</x:f>
        <x:v>0</x:v>
      </x:c>
      <x:c r="L155" s="8" t="n">
        <x:f>J155-K155</x:f>
        <x:v>0</x:v>
      </x:c>
      <x:c r="M155" s="2" t="str">
        <x:f>TEXT(B155,"yyyy-mm")</x:f>
        <x:v>2026-08</x:v>
      </x:c>
      <x:c r="N155" s="2"/>
      <x:c r="O155" s="2"/>
      <x:c r="P155" s="2"/>
    </x:row>
    <x:row r="156" ht="26" customHeight="1">
      <x:c r="A156" s="2" t="str">
        <x:v>O155</x:v>
      </x:c>
      <x:c r="B156" s="7" t="d">
        <x:v>2026-08-15T00:00:00.000Z</x:v>
      </x:c>
      <x:c r="C156" s="2" t="str">
        <x:v>Термокружка</x:v>
      </x:c>
      <x:c r="D156" s="2" t="str">
        <x:v>Сайт</x:v>
      </x:c>
      <x:c r="E156" s="29" t="n">
        <x:v>3</x:v>
      </x:c>
      <x:c r="F156" s="8" t="n">
        <x:v>1600</x:v>
      </x:c>
      <x:c r="G156" s="8" t="n">
        <x:v>144</x:v>
      </x:c>
      <x:c r="H156" s="8" t="n">
        <x:v>650</x:v>
      </x:c>
      <x:c r="I156" s="2" t="str">
        <x:v>оплачен</x:v>
      </x:c>
      <x:c r="J156" s="8" t="n">
        <x:f>IF(I156="оплачен",E156*F156-G156,0)</x:f>
        <x:v>4656</x:v>
      </x:c>
      <x:c r="K156" s="8" t="n">
        <x:f>IF(I156="оплачен",E156*H156,0)</x:f>
        <x:v>1950</x:v>
      </x:c>
      <x:c r="L156" s="8" t="n">
        <x:f>J156-K156</x:f>
        <x:v>2706</x:v>
      </x:c>
      <x:c r="M156" s="2" t="str">
        <x:f>TEXT(B156,"yyyy-mm")</x:f>
        <x:v>2026-08</x:v>
      </x:c>
      <x:c r="N156" s="2"/>
      <x:c r="O156" s="2"/>
      <x:c r="P156" s="2"/>
    </x:row>
    <x:row r="157" ht="26" customHeight="1">
      <x:c r="A157" s="2" t="str">
        <x:v>O156</x:v>
      </x:c>
      <x:c r="B157" s="7" t="d">
        <x:v>2026-08-16T00:00:00.000Z</x:v>
      </x:c>
      <x:c r="C157" s="2" t="str">
        <x:v>Рюкзак</x:v>
      </x:c>
      <x:c r="D157" s="2" t="str">
        <x:v>Маркетплейс</x:v>
      </x:c>
      <x:c r="E157" s="29" t="n">
        <x:v>2</x:v>
      </x:c>
      <x:c r="F157" s="8" t="n">
        <x:v>3600</x:v>
      </x:c>
      <x:c r="G157" s="8" t="n">
        <x:v>864</x:v>
      </x:c>
      <x:c r="H157" s="8" t="n">
        <x:v>1900</x:v>
      </x:c>
      <x:c r="I157" s="2" t="str">
        <x:v>оплачен</x:v>
      </x:c>
      <x:c r="J157" s="8" t="n">
        <x:f>IF(I157="оплачен",E157*F157-G157,0)</x:f>
        <x:v>6336</x:v>
      </x:c>
      <x:c r="K157" s="8" t="n">
        <x:f>IF(I157="оплачен",E157*H157,0)</x:f>
        <x:v>3800</x:v>
      </x:c>
      <x:c r="L157" s="8" t="n">
        <x:f>J157-K157</x:f>
        <x:v>2536</x:v>
      </x:c>
      <x:c r="M157" s="2" t="str">
        <x:f>TEXT(B157,"yyyy-mm")</x:f>
        <x:v>2026-08</x:v>
      </x:c>
      <x:c r="N157" s="2"/>
      <x:c r="O157" s="2"/>
      <x:c r="P157" s="2"/>
    </x:row>
    <x:row r="158" ht="26" customHeight="1">
      <x:c r="A158" s="2" t="str">
        <x:v>O157</x:v>
      </x:c>
      <x:c r="B158" s="7" t="d">
        <x:v>2026-08-17T00:00:00.000Z</x:v>
      </x:c>
      <x:c r="C158" s="2" t="str">
        <x:v>Настольная лампа</x:v>
      </x:c>
      <x:c r="D158" s="2" t="str">
        <x:v>Сайт</x:v>
      </x:c>
      <x:c r="E158" s="29" t="n">
        <x:v>4</x:v>
      </x:c>
      <x:c r="F158" s="8" t="n">
        <x:v>2900</x:v>
      </x:c>
      <x:c r="G158" s="8" t="n">
        <x:v>348</x:v>
      </x:c>
      <x:c r="H158" s="8" t="n">
        <x:v>1700</x:v>
      </x:c>
      <x:c r="I158" s="2" t="str">
        <x:v>отменён</x:v>
      </x:c>
      <x:c r="J158" s="8" t="n">
        <x:f>IF(I158="оплачен",E158*F158-G158,0)</x:f>
        <x:v>0</x:v>
      </x:c>
      <x:c r="K158" s="8" t="n">
        <x:f>IF(I158="оплачен",E158*H158,0)</x:f>
        <x:v>0</x:v>
      </x:c>
      <x:c r="L158" s="8" t="n">
        <x:f>J158-K158</x:f>
        <x:v>0</x:v>
      </x:c>
      <x:c r="M158" s="2" t="str">
        <x:f>TEXT(B158,"yyyy-mm")</x:f>
        <x:v>2026-08</x:v>
      </x:c>
      <x:c r="N158" s="2"/>
      <x:c r="O158" s="2"/>
      <x:c r="P158" s="2"/>
    </x:row>
    <x:row r="159" ht="26" customHeight="1">
      <x:c r="A159" s="2" t="str">
        <x:v>O158</x:v>
      </x:c>
      <x:c r="B159" s="7" t="d">
        <x:v>2026-08-18T00:00:00.000Z</x:v>
      </x:c>
      <x:c r="C159" s="2" t="str">
        <x:v>Термокружка</x:v>
      </x:c>
      <x:c r="D159" s="2" t="str">
        <x:v>Сайт</x:v>
      </x:c>
      <x:c r="E159" s="29" t="n">
        <x:v>1</x:v>
      </x:c>
      <x:c r="F159" s="8" t="n">
        <x:v>1600</x:v>
      </x:c>
      <x:c r="G159" s="8" t="n">
        <x:v>48</x:v>
      </x:c>
      <x:c r="H159" s="8" t="n">
        <x:v>650</x:v>
      </x:c>
      <x:c r="I159" s="2" t="str">
        <x:v>оплачен</x:v>
      </x:c>
      <x:c r="J159" s="8" t="n">
        <x:f>IF(I159="оплачен",E159*F159-G159,0)</x:f>
        <x:v>1552</x:v>
      </x:c>
      <x:c r="K159" s="8" t="n">
        <x:f>IF(I159="оплачен",E159*H159,0)</x:f>
        <x:v>650</x:v>
      </x:c>
      <x:c r="L159" s="8" t="n">
        <x:f>J159-K159</x:f>
        <x:v>902</x:v>
      </x:c>
      <x:c r="M159" s="2" t="str">
        <x:f>TEXT(B159,"yyyy-mm")</x:f>
        <x:v>2026-08</x:v>
      </x:c>
      <x:c r="N159" s="2"/>
      <x:c r="O159" s="2"/>
      <x:c r="P159" s="2"/>
    </x:row>
    <x:row r="160" ht="26" customHeight="1">
      <x:c r="A160" s="2" t="str">
        <x:v>O159</x:v>
      </x:c>
      <x:c r="B160" s="7" t="d">
        <x:v>2026-08-19T00:00:00.000Z</x:v>
      </x:c>
      <x:c r="C160" s="2" t="str">
        <x:v>Рюкзак</x:v>
      </x:c>
      <x:c r="D160" s="2" t="str">
        <x:v>Соцсети</x:v>
      </x:c>
      <x:c r="E160" s="29" t="n">
        <x:v>1</x:v>
      </x:c>
      <x:c r="F160" s="8" t="n">
        <x:v>3600</x:v>
      </x:c>
      <x:c r="G160" s="8" t="n">
        <x:v>108</x:v>
      </x:c>
      <x:c r="H160" s="8" t="n">
        <x:v>1900</x:v>
      </x:c>
      <x:c r="I160" s="2" t="str">
        <x:v>оплачен</x:v>
      </x:c>
      <x:c r="J160" s="8" t="n">
        <x:f>IF(I160="оплачен",E160*F160-G160,0)</x:f>
        <x:v>3492</x:v>
      </x:c>
      <x:c r="K160" s="8" t="n">
        <x:f>IF(I160="оплачен",E160*H160,0)</x:f>
        <x:v>1900</x:v>
      </x:c>
      <x:c r="L160" s="8" t="n">
        <x:f>J160-K160</x:f>
        <x:v>1592</x:v>
      </x:c>
      <x:c r="M160" s="2" t="str">
        <x:f>TEXT(B160,"yyyy-mm")</x:f>
        <x:v>2026-08</x:v>
      </x:c>
      <x:c r="N160" s="2"/>
      <x:c r="O160" s="2"/>
      <x:c r="P160" s="2"/>
    </x:row>
    <x:row r="161" ht="26" customHeight="1">
      <x:c r="A161" s="2" t="str">
        <x:v>O160</x:v>
      </x:c>
      <x:c r="B161" s="7" t="d">
        <x:v>2026-08-20T00:00:00.000Z</x:v>
      </x:c>
      <x:c r="C161" s="2" t="str">
        <x:v>Настольная лампа</x:v>
      </x:c>
      <x:c r="D161" s="2" t="str">
        <x:v>Соцсети</x:v>
      </x:c>
      <x:c r="E161" s="29" t="n">
        <x:v>4</x:v>
      </x:c>
      <x:c r="F161" s="8" t="n">
        <x:v>2900</x:v>
      </x:c>
      <x:c r="G161" s="8" t="n">
        <x:v>348</x:v>
      </x:c>
      <x:c r="H161" s="8" t="n">
        <x:v>1700</x:v>
      </x:c>
      <x:c r="I161" s="2" t="str">
        <x:v>оплачен</x:v>
      </x:c>
      <x:c r="J161" s="8" t="n">
        <x:f>IF(I161="оплачен",E161*F161-G161,0)</x:f>
        <x:v>11252</x:v>
      </x:c>
      <x:c r="K161" s="8" t="n">
        <x:f>IF(I161="оплачен",E161*H161,0)</x:f>
        <x:v>6800</x:v>
      </x:c>
      <x:c r="L161" s="8" t="n">
        <x:f>J161-K161</x:f>
        <x:v>4452</x:v>
      </x:c>
      <x:c r="M161" s="2" t="str">
        <x:f>TEXT(B161,"yyyy-mm")</x:f>
        <x:v>2026-08</x:v>
      </x:c>
      <x:c r="N161" s="2"/>
      <x:c r="O161" s="2"/>
      <x:c r="P161" s="2"/>
    </x:row>
    <x:row r="162" ht="26" customHeight="1">
      <x:c r="A162" s="2" t="str">
        <x:v>O161</x:v>
      </x:c>
      <x:c r="B162" s="7" t="d">
        <x:v>2026-09-21T00:00:00.000Z</x:v>
      </x:c>
      <x:c r="C162" s="2" t="str">
        <x:v>Рюкзак</x:v>
      </x:c>
      <x:c r="D162" s="2" t="str">
        <x:v>Соцсети</x:v>
      </x:c>
      <x:c r="E162" s="29" t="n">
        <x:v>1</x:v>
      </x:c>
      <x:c r="F162" s="8" t="n">
        <x:v>3600</x:v>
      </x:c>
      <x:c r="G162" s="8" t="n">
        <x:v>108</x:v>
      </x:c>
      <x:c r="H162" s="8" t="n">
        <x:v>1900</x:v>
      </x:c>
      <x:c r="I162" s="2" t="str">
        <x:v>оплачен</x:v>
      </x:c>
      <x:c r="J162" s="8" t="n">
        <x:f>IF(I162="оплачен",E162*F162-G162,0)</x:f>
        <x:v>3492</x:v>
      </x:c>
      <x:c r="K162" s="8" t="n">
        <x:f>IF(I162="оплачен",E162*H162,0)</x:f>
        <x:v>1900</x:v>
      </x:c>
      <x:c r="L162" s="8" t="n">
        <x:f>J162-K162</x:f>
        <x:v>1592</x:v>
      </x:c>
      <x:c r="M162" s="2" t="str">
        <x:f>TEXT(B162,"yyyy-mm")</x:f>
        <x:v>2026-09</x:v>
      </x:c>
      <x:c r="N162" s="2"/>
      <x:c r="O162" s="2"/>
      <x:c r="P162" s="2"/>
    </x:row>
    <x:row r="163" ht="26" customHeight="1">
      <x:c r="A163" s="2" t="str">
        <x:v>O162</x:v>
      </x:c>
      <x:c r="B163" s="7" t="d">
        <x:v>2026-09-22T00:00:00.000Z</x:v>
      </x:c>
      <x:c r="C163" s="2" t="str">
        <x:v>Термокружка</x:v>
      </x:c>
      <x:c r="D163" s="2" t="str">
        <x:v>Сайт</x:v>
      </x:c>
      <x:c r="E163" s="29" t="n">
        <x:v>1</x:v>
      </x:c>
      <x:c r="F163" s="8" t="n">
        <x:v>1600</x:v>
      </x:c>
      <x:c r="G163" s="8" t="n">
        <x:v>48</x:v>
      </x:c>
      <x:c r="H163" s="8" t="n">
        <x:v>650</x:v>
      </x:c>
      <x:c r="I163" s="2" t="str">
        <x:v>оплачен</x:v>
      </x:c>
      <x:c r="J163" s="8" t="n">
        <x:f>IF(I163="оплачен",E163*F163-G163,0)</x:f>
        <x:v>1552</x:v>
      </x:c>
      <x:c r="K163" s="8" t="n">
        <x:f>IF(I163="оплачен",E163*H163,0)</x:f>
        <x:v>650</x:v>
      </x:c>
      <x:c r="L163" s="8" t="n">
        <x:f>J163-K163</x:f>
        <x:v>902</x:v>
      </x:c>
      <x:c r="M163" s="2" t="str">
        <x:f>TEXT(B163,"yyyy-mm")</x:f>
        <x:v>2026-09</x:v>
      </x:c>
      <x:c r="N163" s="2"/>
      <x:c r="O163" s="2"/>
      <x:c r="P163" s="2"/>
    </x:row>
    <x:row r="164" ht="26" customHeight="1">
      <x:c r="A164" s="2" t="str">
        <x:v>O163</x:v>
      </x:c>
      <x:c r="B164" s="7" t="d">
        <x:v>2026-09-23T00:00:00.000Z</x:v>
      </x:c>
      <x:c r="C164" s="2" t="str">
        <x:v>Термокружка</x:v>
      </x:c>
      <x:c r="D164" s="2" t="str">
        <x:v>Сайт</x:v>
      </x:c>
      <x:c r="E164" s="29" t="n">
        <x:v>1</x:v>
      </x:c>
      <x:c r="F164" s="8" t="n">
        <x:v>1600</x:v>
      </x:c>
      <x:c r="G164" s="8" t="n">
        <x:v>48</x:v>
      </x:c>
      <x:c r="H164" s="8" t="n">
        <x:v>650</x:v>
      </x:c>
      <x:c r="I164" s="2" t="str">
        <x:v>оплачен</x:v>
      </x:c>
      <x:c r="J164" s="8" t="n">
        <x:f>IF(I164="оплачен",E164*F164-G164,0)</x:f>
        <x:v>1552</x:v>
      </x:c>
      <x:c r="K164" s="8" t="n">
        <x:f>IF(I164="оплачен",E164*H164,0)</x:f>
        <x:v>650</x:v>
      </x:c>
      <x:c r="L164" s="8" t="n">
        <x:f>J164-K164</x:f>
        <x:v>902</x:v>
      </x:c>
      <x:c r="M164" s="2" t="str">
        <x:f>TEXT(B164,"yyyy-mm")</x:f>
        <x:v>2026-09</x:v>
      </x:c>
      <x:c r="N164" s="2"/>
      <x:c r="O164" s="2"/>
      <x:c r="P164" s="2"/>
    </x:row>
    <x:row r="165" ht="26" customHeight="1">
      <x:c r="A165" s="2" t="str">
        <x:v>O164</x:v>
      </x:c>
      <x:c r="B165" s="7" t="d">
        <x:v>2026-09-24T00:00:00.000Z</x:v>
      </x:c>
      <x:c r="C165" s="2" t="str">
        <x:v>Планер</x:v>
      </x:c>
      <x:c r="D165" s="2" t="str">
        <x:v>Соцсети</x:v>
      </x:c>
      <x:c r="E165" s="29" t="n">
        <x:v>1</x:v>
      </x:c>
      <x:c r="F165" s="8" t="n">
        <x:v>800</x:v>
      </x:c>
      <x:c r="G165" s="8" t="n">
        <x:v>24</x:v>
      </x:c>
      <x:c r="H165" s="8" t="n">
        <x:v>280</x:v>
      </x:c>
      <x:c r="I165" s="2" t="str">
        <x:v>оплачен</x:v>
      </x:c>
      <x:c r="J165" s="8" t="n">
        <x:f>IF(I165="оплачен",E165*F165-G165,0)</x:f>
        <x:v>776</x:v>
      </x:c>
      <x:c r="K165" s="8" t="n">
        <x:f>IF(I165="оплачен",E165*H165,0)</x:f>
        <x:v>280</x:v>
      </x:c>
      <x:c r="L165" s="8" t="n">
        <x:f>J165-K165</x:f>
        <x:v>496</x:v>
      </x:c>
      <x:c r="M165" s="2" t="str">
        <x:f>TEXT(B165,"yyyy-mm")</x:f>
        <x:v>2026-09</x:v>
      </x:c>
      <x:c r="N165" s="2"/>
      <x:c r="O165" s="2"/>
      <x:c r="P165" s="2"/>
    </x:row>
    <x:row r="166" ht="26" customHeight="1">
      <x:c r="A166" s="2" t="str">
        <x:v>O165</x:v>
      </x:c>
      <x:c r="B166" s="7" t="d">
        <x:v>2026-09-25T00:00:00.000Z</x:v>
      </x:c>
      <x:c r="C166" s="2" t="str">
        <x:v>Термокружка</x:v>
      </x:c>
      <x:c r="D166" s="2" t="str">
        <x:v>Маркетплейс</x:v>
      </x:c>
      <x:c r="E166" s="29" t="n">
        <x:v>1</x:v>
      </x:c>
      <x:c r="F166" s="8" t="n">
        <x:v>1600</x:v>
      </x:c>
      <x:c r="G166" s="8" t="n">
        <x:v>192</x:v>
      </x:c>
      <x:c r="H166" s="8" t="n">
        <x:v>650</x:v>
      </x:c>
      <x:c r="I166" s="2" t="str">
        <x:v>оплачен</x:v>
      </x:c>
      <x:c r="J166" s="8" t="n">
        <x:f>IF(I166="оплачен",E166*F166-G166,0)</x:f>
        <x:v>1408</x:v>
      </x:c>
      <x:c r="K166" s="8" t="n">
        <x:f>IF(I166="оплачен",E166*H166,0)</x:f>
        <x:v>650</x:v>
      </x:c>
      <x:c r="L166" s="8" t="n">
        <x:f>J166-K166</x:f>
        <x:v>758</x:v>
      </x:c>
      <x:c r="M166" s="2" t="str">
        <x:f>TEXT(B166,"yyyy-mm")</x:f>
        <x:v>2026-09</x:v>
      </x:c>
      <x:c r="N166" s="2"/>
      <x:c r="O166" s="2"/>
      <x:c r="P166" s="2"/>
    </x:row>
    <x:row r="167" ht="26" customHeight="1">
      <x:c r="A167" s="2" t="str">
        <x:v>O166</x:v>
      </x:c>
      <x:c r="B167" s="7" t="d">
        <x:v>2026-09-26T00:00:00.000Z</x:v>
      </x:c>
      <x:c r="C167" s="2" t="str">
        <x:v>Рюкзак</x:v>
      </x:c>
      <x:c r="D167" s="2" t="str">
        <x:v>Соцсети</x:v>
      </x:c>
      <x:c r="E167" s="29" t="n">
        <x:v>2</x:v>
      </x:c>
      <x:c r="F167" s="8" t="n">
        <x:v>3600</x:v>
      </x:c>
      <x:c r="G167" s="8" t="n">
        <x:v>216</x:v>
      </x:c>
      <x:c r="H167" s="8" t="n">
        <x:v>1900</x:v>
      </x:c>
      <x:c r="I167" s="2" t="str">
        <x:v>оплачен</x:v>
      </x:c>
      <x:c r="J167" s="8" t="n">
        <x:f>IF(I167="оплачен",E167*F167-G167,0)</x:f>
        <x:v>6984</x:v>
      </x:c>
      <x:c r="K167" s="8" t="n">
        <x:f>IF(I167="оплачен",E167*H167,0)</x:f>
        <x:v>3800</x:v>
      </x:c>
      <x:c r="L167" s="8" t="n">
        <x:f>J167-K167</x:f>
        <x:v>3184</x:v>
      </x:c>
      <x:c r="M167" s="2" t="str">
        <x:f>TEXT(B167,"yyyy-mm")</x:f>
        <x:v>2026-09</x:v>
      </x:c>
      <x:c r="N167" s="2"/>
      <x:c r="O167" s="2"/>
      <x:c r="P167" s="2"/>
    </x:row>
    <x:row r="168" ht="26" customHeight="1">
      <x:c r="A168" s="2" t="str">
        <x:v>O167</x:v>
      </x:c>
      <x:c r="B168" s="7" t="d">
        <x:v>2026-09-27T00:00:00.000Z</x:v>
      </x:c>
      <x:c r="C168" s="2" t="str">
        <x:v>Термокружка</x:v>
      </x:c>
      <x:c r="D168" s="2" t="str">
        <x:v>Сайт</x:v>
      </x:c>
      <x:c r="E168" s="29" t="n">
        <x:v>1</x:v>
      </x:c>
      <x:c r="F168" s="8" t="n">
        <x:v>1600</x:v>
      </x:c>
      <x:c r="G168" s="8" t="n">
        <x:v>48</x:v>
      </x:c>
      <x:c r="H168" s="8" t="n">
        <x:v>650</x:v>
      </x:c>
      <x:c r="I168" s="2" t="str">
        <x:v>оплачен</x:v>
      </x:c>
      <x:c r="J168" s="8" t="n">
        <x:f>IF(I168="оплачен",E168*F168-G168,0)</x:f>
        <x:v>1552</x:v>
      </x:c>
      <x:c r="K168" s="8" t="n">
        <x:f>IF(I168="оплачен",E168*H168,0)</x:f>
        <x:v>650</x:v>
      </x:c>
      <x:c r="L168" s="8" t="n">
        <x:f>J168-K168</x:f>
        <x:v>902</x:v>
      </x:c>
      <x:c r="M168" s="2" t="str">
        <x:f>TEXT(B168,"yyyy-mm")</x:f>
        <x:v>2026-09</x:v>
      </x:c>
      <x:c r="N168" s="2"/>
      <x:c r="O168" s="2"/>
      <x:c r="P168" s="2"/>
    </x:row>
    <x:row r="169" ht="26" customHeight="1">
      <x:c r="A169" s="2" t="str">
        <x:v>O168</x:v>
      </x:c>
      <x:c r="B169" s="7" t="d">
        <x:v>2026-09-28T00:00:00.000Z</x:v>
      </x:c>
      <x:c r="C169" s="2" t="str">
        <x:v>Рюкзак</x:v>
      </x:c>
      <x:c r="D169" s="2" t="str">
        <x:v>Сайт</x:v>
      </x:c>
      <x:c r="E169" s="29" t="n">
        <x:v>2</x:v>
      </x:c>
      <x:c r="F169" s="8" t="n">
        <x:v>3600</x:v>
      </x:c>
      <x:c r="G169" s="8" t="n">
        <x:v>216</x:v>
      </x:c>
      <x:c r="H169" s="8" t="n">
        <x:v>1900</x:v>
      </x:c>
      <x:c r="I169" s="2" t="str">
        <x:v>оплачен</x:v>
      </x:c>
      <x:c r="J169" s="8" t="n">
        <x:f>IF(I169="оплачен",E169*F169-G169,0)</x:f>
        <x:v>6984</x:v>
      </x:c>
      <x:c r="K169" s="8" t="n">
        <x:f>IF(I169="оплачен",E169*H169,0)</x:f>
        <x:v>3800</x:v>
      </x:c>
      <x:c r="L169" s="8" t="n">
        <x:f>J169-K169</x:f>
        <x:v>3184</x:v>
      </x:c>
      <x:c r="M169" s="2" t="str">
        <x:f>TEXT(B169,"yyyy-mm")</x:f>
        <x:v>2026-09</x:v>
      </x:c>
      <x:c r="N169" s="2"/>
      <x:c r="O169" s="2"/>
      <x:c r="P169" s="2"/>
    </x:row>
    <x:row r="170" ht="26" customHeight="1">
      <x:c r="A170" s="2" t="str">
        <x:v>O169</x:v>
      </x:c>
      <x:c r="B170" s="7" t="d">
        <x:v>2026-09-01T00:00:00.000Z</x:v>
      </x:c>
      <x:c r="C170" s="2" t="str">
        <x:v>Настольная лампа</x:v>
      </x:c>
      <x:c r="D170" s="2" t="str">
        <x:v>Сайт</x:v>
      </x:c>
      <x:c r="E170" s="29" t="n">
        <x:v>1</x:v>
      </x:c>
      <x:c r="F170" s="8" t="n">
        <x:v>2900</x:v>
      </x:c>
      <x:c r="G170" s="8" t="n">
        <x:v>87</x:v>
      </x:c>
      <x:c r="H170" s="8" t="n">
        <x:v>1700</x:v>
      </x:c>
      <x:c r="I170" s="2" t="str">
        <x:v>оплачен</x:v>
      </x:c>
      <x:c r="J170" s="8" t="n">
        <x:f>IF(I170="оплачен",E170*F170-G170,0)</x:f>
        <x:v>2813</x:v>
      </x:c>
      <x:c r="K170" s="8" t="n">
        <x:f>IF(I170="оплачен",E170*H170,0)</x:f>
        <x:v>1700</x:v>
      </x:c>
      <x:c r="L170" s="8" t="n">
        <x:f>J170-K170</x:f>
        <x:v>1113</x:v>
      </x:c>
      <x:c r="M170" s="2" t="str">
        <x:f>TEXT(B170,"yyyy-mm")</x:f>
        <x:v>2026-09</x:v>
      </x:c>
      <x:c r="N170" s="2"/>
      <x:c r="O170" s="2"/>
      <x:c r="P170" s="2"/>
    </x:row>
    <x:row r="171" ht="26" customHeight="1">
      <x:c r="A171" s="2" t="str">
        <x:v>O170</x:v>
      </x:c>
      <x:c r="B171" s="7" t="d">
        <x:v>2026-09-02T00:00:00.000Z</x:v>
      </x:c>
      <x:c r="C171" s="2" t="str">
        <x:v>Планер</x:v>
      </x:c>
      <x:c r="D171" s="2" t="str">
        <x:v>Маркетплейс</x:v>
      </x:c>
      <x:c r="E171" s="29" t="n">
        <x:v>1</x:v>
      </x:c>
      <x:c r="F171" s="8" t="n">
        <x:v>800</x:v>
      </x:c>
      <x:c r="G171" s="8" t="n">
        <x:v>96</x:v>
      </x:c>
      <x:c r="H171" s="8" t="n">
        <x:v>280</x:v>
      </x:c>
      <x:c r="I171" s="2" t="str">
        <x:v>отменён</x:v>
      </x:c>
      <x:c r="J171" s="8" t="n">
        <x:f>IF(I171="оплачен",E171*F171-G171,0)</x:f>
        <x:v>0</x:v>
      </x:c>
      <x:c r="K171" s="8" t="n">
        <x:f>IF(I171="оплачен",E171*H171,0)</x:f>
        <x:v>0</x:v>
      </x:c>
      <x:c r="L171" s="8" t="n">
        <x:f>J171-K171</x:f>
        <x:v>0</x:v>
      </x:c>
      <x:c r="M171" s="2" t="str">
        <x:f>TEXT(B171,"yyyy-mm")</x:f>
        <x:v>2026-09</x:v>
      </x:c>
      <x:c r="N171" s="2"/>
      <x:c r="O171" s="2"/>
      <x:c r="P171" s="2"/>
    </x:row>
    <x:row r="172" ht="26" customHeight="1">
      <x:c r="A172" s="2" t="str">
        <x:v>O171</x:v>
      </x:c>
      <x:c r="B172" s="7" t="d">
        <x:v>2026-09-03T00:00:00.000Z</x:v>
      </x:c>
      <x:c r="C172" s="2" t="str">
        <x:v>Планер</x:v>
      </x:c>
      <x:c r="D172" s="2" t="str">
        <x:v>Соцсети</x:v>
      </x:c>
      <x:c r="E172" s="29" t="n">
        <x:v>2</x:v>
      </x:c>
      <x:c r="F172" s="8" t="n">
        <x:v>800</x:v>
      </x:c>
      <x:c r="G172" s="8" t="n">
        <x:v>48</x:v>
      </x:c>
      <x:c r="H172" s="8" t="n">
        <x:v>280</x:v>
      </x:c>
      <x:c r="I172" s="2" t="str">
        <x:v>возвращён</x:v>
      </x:c>
      <x:c r="J172" s="8" t="n">
        <x:f>IF(I172="оплачен",E172*F172-G172,0)</x:f>
        <x:v>0</x:v>
      </x:c>
      <x:c r="K172" s="8" t="n">
        <x:f>IF(I172="оплачен",E172*H172,0)</x:f>
        <x:v>0</x:v>
      </x:c>
      <x:c r="L172" s="8" t="n">
        <x:f>J172-K172</x:f>
        <x:v>0</x:v>
      </x:c>
      <x:c r="M172" s="2" t="str">
        <x:f>TEXT(B172,"yyyy-mm")</x:f>
        <x:v>2026-09</x:v>
      </x:c>
      <x:c r="N172" s="2"/>
      <x:c r="O172" s="2"/>
      <x:c r="P172" s="2"/>
    </x:row>
    <x:row r="173" ht="26" customHeight="1">
      <x:c r="A173" s="2" t="str">
        <x:v>O172</x:v>
      </x:c>
      <x:c r="B173" s="7" t="d">
        <x:v>2026-09-04T00:00:00.000Z</x:v>
      </x:c>
      <x:c r="C173" s="2" t="str">
        <x:v>Настольная лампа</x:v>
      </x:c>
      <x:c r="D173" s="2" t="str">
        <x:v>Соцсети</x:v>
      </x:c>
      <x:c r="E173" s="29" t="n">
        <x:v>2</x:v>
      </x:c>
      <x:c r="F173" s="8" t="n">
        <x:v>2900</x:v>
      </x:c>
      <x:c r="G173" s="8" t="n">
        <x:v>174</x:v>
      </x:c>
      <x:c r="H173" s="8" t="n">
        <x:v>1700</x:v>
      </x:c>
      <x:c r="I173" s="2" t="str">
        <x:v>оплачен</x:v>
      </x:c>
      <x:c r="J173" s="8" t="n">
        <x:f>IF(I173="оплачен",E173*F173-G173,0)</x:f>
        <x:v>5626</x:v>
      </x:c>
      <x:c r="K173" s="8" t="n">
        <x:f>IF(I173="оплачен",E173*H173,0)</x:f>
        <x:v>3400</x:v>
      </x:c>
      <x:c r="L173" s="8" t="n">
        <x:f>J173-K173</x:f>
        <x:v>2226</x:v>
      </x:c>
      <x:c r="M173" s="2" t="str">
        <x:f>TEXT(B173,"yyyy-mm")</x:f>
        <x:v>2026-09</x:v>
      </x:c>
      <x:c r="N173" s="2"/>
      <x:c r="O173" s="2"/>
      <x:c r="P173" s="2"/>
    </x:row>
    <x:row r="174" ht="26" customHeight="1">
      <x:c r="A174" s="2" t="str">
        <x:v>O173</x:v>
      </x:c>
      <x:c r="B174" s="7" t="d">
        <x:v>2026-09-05T00:00:00.000Z</x:v>
      </x:c>
      <x:c r="C174" s="2" t="str">
        <x:v>Термокружка</x:v>
      </x:c>
      <x:c r="D174" s="2" t="str">
        <x:v>Сайт</x:v>
      </x:c>
      <x:c r="E174" s="29" t="n">
        <x:v>1</x:v>
      </x:c>
      <x:c r="F174" s="8" t="n">
        <x:v>1600</x:v>
      </x:c>
      <x:c r="G174" s="8" t="n">
        <x:v>48</x:v>
      </x:c>
      <x:c r="H174" s="8" t="n">
        <x:v>650</x:v>
      </x:c>
      <x:c r="I174" s="2" t="str">
        <x:v>оплачен</x:v>
      </x:c>
      <x:c r="J174" s="8" t="n">
        <x:f>IF(I174="оплачен",E174*F174-G174,0)</x:f>
        <x:v>1552</x:v>
      </x:c>
      <x:c r="K174" s="8" t="n">
        <x:f>IF(I174="оплачен",E174*H174,0)</x:f>
        <x:v>650</x:v>
      </x:c>
      <x:c r="L174" s="8" t="n">
        <x:f>J174-K174</x:f>
        <x:v>902</x:v>
      </x:c>
      <x:c r="M174" s="2" t="str">
        <x:f>TEXT(B174,"yyyy-mm")</x:f>
        <x:v>2026-09</x:v>
      </x:c>
      <x:c r="N174" s="2"/>
      <x:c r="O174" s="2"/>
      <x:c r="P174" s="2"/>
    </x:row>
    <x:row r="175" ht="26" customHeight="1">
      <x:c r="A175" s="2" t="str">
        <x:v>O174</x:v>
      </x:c>
      <x:c r="B175" s="7" t="d">
        <x:v>2026-09-06T00:00:00.000Z</x:v>
      </x:c>
      <x:c r="C175" s="2" t="str">
        <x:v>Планер</x:v>
      </x:c>
      <x:c r="D175" s="2" t="str">
        <x:v>Маркетплейс</x:v>
      </x:c>
      <x:c r="E175" s="29" t="n">
        <x:v>2</x:v>
      </x:c>
      <x:c r="F175" s="8" t="n">
        <x:v>800</x:v>
      </x:c>
      <x:c r="G175" s="8" t="n">
        <x:v>192</x:v>
      </x:c>
      <x:c r="H175" s="8" t="n">
        <x:v>280</x:v>
      </x:c>
      <x:c r="I175" s="2" t="str">
        <x:v>оплачен</x:v>
      </x:c>
      <x:c r="J175" s="8" t="n">
        <x:f>IF(I175="оплачен",E175*F175-G175,0)</x:f>
        <x:v>1408</x:v>
      </x:c>
      <x:c r="K175" s="8" t="n">
        <x:f>IF(I175="оплачен",E175*H175,0)</x:f>
        <x:v>560</x:v>
      </x:c>
      <x:c r="L175" s="8" t="n">
        <x:f>J175-K175</x:f>
        <x:v>848</x:v>
      </x:c>
      <x:c r="M175" s="2" t="str">
        <x:f>TEXT(B175,"yyyy-mm")</x:f>
        <x:v>2026-09</x:v>
      </x:c>
      <x:c r="N175" s="2"/>
      <x:c r="O175" s="2"/>
      <x:c r="P175" s="2"/>
    </x:row>
    <x:row r="176" ht="26" customHeight="1">
      <x:c r="A176" s="2" t="str">
        <x:v>O175</x:v>
      </x:c>
      <x:c r="B176" s="7" t="d">
        <x:v>2026-09-07T00:00:00.000Z</x:v>
      </x:c>
      <x:c r="C176" s="2" t="str">
        <x:v>Настольная лампа</x:v>
      </x:c>
      <x:c r="D176" s="2" t="str">
        <x:v>Маркетплейс</x:v>
      </x:c>
      <x:c r="E176" s="29" t="n">
        <x:v>2</x:v>
      </x:c>
      <x:c r="F176" s="8" t="n">
        <x:v>2900</x:v>
      </x:c>
      <x:c r="G176" s="8" t="n">
        <x:v>696</x:v>
      </x:c>
      <x:c r="H176" s="8" t="n">
        <x:v>1700</x:v>
      </x:c>
      <x:c r="I176" s="2" t="str">
        <x:v>оплачен</x:v>
      </x:c>
      <x:c r="J176" s="8" t="n">
        <x:f>IF(I176="оплачен",E176*F176-G176,0)</x:f>
        <x:v>5104</x:v>
      </x:c>
      <x:c r="K176" s="8" t="n">
        <x:f>IF(I176="оплачен",E176*H176,0)</x:f>
        <x:v>3400</x:v>
      </x:c>
      <x:c r="L176" s="8" t="n">
        <x:f>J176-K176</x:f>
        <x:v>1704</x:v>
      </x:c>
      <x:c r="M176" s="2" t="str">
        <x:f>TEXT(B176,"yyyy-mm")</x:f>
        <x:v>2026-09</x:v>
      </x:c>
      <x:c r="N176" s="2"/>
      <x:c r="O176" s="2"/>
      <x:c r="P176" s="2"/>
    </x:row>
    <x:row r="177" ht="26" customHeight="1">
      <x:c r="A177" s="2" t="str">
        <x:v>O176</x:v>
      </x:c>
      <x:c r="B177" s="7" t="d">
        <x:v>2026-09-08T00:00:00.000Z</x:v>
      </x:c>
      <x:c r="C177" s="2" t="str">
        <x:v>Настольная лампа</x:v>
      </x:c>
      <x:c r="D177" s="2" t="str">
        <x:v>Соцсети</x:v>
      </x:c>
      <x:c r="E177" s="29" t="n">
        <x:v>4</x:v>
      </x:c>
      <x:c r="F177" s="8" t="n">
        <x:v>2900</x:v>
      </x:c>
      <x:c r="G177" s="8" t="n">
        <x:v>348</x:v>
      </x:c>
      <x:c r="H177" s="8" t="n">
        <x:v>1700</x:v>
      </x:c>
      <x:c r="I177" s="2" t="str">
        <x:v>оплачен</x:v>
      </x:c>
      <x:c r="J177" s="8" t="n">
        <x:f>IF(I177="оплачен",E177*F177-G177,0)</x:f>
        <x:v>11252</x:v>
      </x:c>
      <x:c r="K177" s="8" t="n">
        <x:f>IF(I177="оплачен",E177*H177,0)</x:f>
        <x:v>6800</x:v>
      </x:c>
      <x:c r="L177" s="8" t="n">
        <x:f>J177-K177</x:f>
        <x:v>4452</x:v>
      </x:c>
      <x:c r="M177" s="2" t="str">
        <x:f>TEXT(B177,"yyyy-mm")</x:f>
        <x:v>2026-09</x:v>
      </x:c>
      <x:c r="N177" s="2"/>
      <x:c r="O177" s="2"/>
      <x:c r="P177" s="2"/>
    </x:row>
    <x:row r="178" ht="26" customHeight="1">
      <x:c r="A178" s="2" t="str">
        <x:v>O177</x:v>
      </x:c>
      <x:c r="B178" s="7" t="d">
        <x:v>2026-09-09T00:00:00.000Z</x:v>
      </x:c>
      <x:c r="C178" s="2" t="str">
        <x:v>Термокружка</x:v>
      </x:c>
      <x:c r="D178" s="2" t="str">
        <x:v>Маркетплейс</x:v>
      </x:c>
      <x:c r="E178" s="29" t="n">
        <x:v>1</x:v>
      </x:c>
      <x:c r="F178" s="8" t="n">
        <x:v>1600</x:v>
      </x:c>
      <x:c r="G178" s="8" t="n">
        <x:v>192</x:v>
      </x:c>
      <x:c r="H178" s="8" t="n">
        <x:v>650</x:v>
      </x:c>
      <x:c r="I178" s="2" t="str">
        <x:v>оплачен</x:v>
      </x:c>
      <x:c r="J178" s="8" t="n">
        <x:f>IF(I178="оплачен",E178*F178-G178,0)</x:f>
        <x:v>1408</x:v>
      </x:c>
      <x:c r="K178" s="8" t="n">
        <x:f>IF(I178="оплачен",E178*H178,0)</x:f>
        <x:v>650</x:v>
      </x:c>
      <x:c r="L178" s="8" t="n">
        <x:f>J178-K178</x:f>
        <x:v>758</x:v>
      </x:c>
      <x:c r="M178" s="2" t="str">
        <x:f>TEXT(B178,"yyyy-mm")</x:f>
        <x:v>2026-09</x:v>
      </x:c>
      <x:c r="N178" s="2"/>
      <x:c r="O178" s="2"/>
      <x:c r="P178" s="2"/>
    </x:row>
    <x:row r="179" ht="26" customHeight="1">
      <x:c r="A179" s="2" t="str">
        <x:v>O178</x:v>
      </x:c>
      <x:c r="B179" s="7" t="d">
        <x:v>2026-09-10T00:00:00.000Z</x:v>
      </x:c>
      <x:c r="C179" s="2" t="str">
        <x:v>Рюкзак</x:v>
      </x:c>
      <x:c r="D179" s="2" t="str">
        <x:v>Маркетплейс</x:v>
      </x:c>
      <x:c r="E179" s="29" t="n">
        <x:v>3</x:v>
      </x:c>
      <x:c r="F179" s="8" t="n">
        <x:v>3600</x:v>
      </x:c>
      <x:c r="G179" s="8" t="n">
        <x:v>1296</x:v>
      </x:c>
      <x:c r="H179" s="8" t="n">
        <x:v>1900</x:v>
      </x:c>
      <x:c r="I179" s="2" t="str">
        <x:v>оплачен</x:v>
      </x:c>
      <x:c r="J179" s="8" t="n">
        <x:f>IF(I179="оплачен",E179*F179-G179,0)</x:f>
        <x:v>9504</x:v>
      </x:c>
      <x:c r="K179" s="8" t="n">
        <x:f>IF(I179="оплачен",E179*H179,0)</x:f>
        <x:v>5700</x:v>
      </x:c>
      <x:c r="L179" s="8" t="n">
        <x:f>J179-K179</x:f>
        <x:v>3804</x:v>
      </x:c>
      <x:c r="M179" s="2" t="str">
        <x:f>TEXT(B179,"yyyy-mm")</x:f>
        <x:v>2026-09</x:v>
      </x:c>
      <x:c r="N179" s="2"/>
      <x:c r="O179" s="2"/>
      <x:c r="P179" s="2"/>
    </x:row>
    <x:row r="180" ht="26" customHeight="1">
      <x:c r="A180" s="2" t="str">
        <x:v>O179</x:v>
      </x:c>
      <x:c r="B180" s="7" t="d">
        <x:v>2026-09-11T00:00:00.000Z</x:v>
      </x:c>
      <x:c r="C180" s="2" t="str">
        <x:v>Настольная лампа</x:v>
      </x:c>
      <x:c r="D180" s="2" t="str">
        <x:v>Соцсети</x:v>
      </x:c>
      <x:c r="E180" s="29" t="n">
        <x:v>1</x:v>
      </x:c>
      <x:c r="F180" s="8" t="n">
        <x:v>2900</x:v>
      </x:c>
      <x:c r="G180" s="8" t="n">
        <x:v>87</x:v>
      </x:c>
      <x:c r="H180" s="8" t="n">
        <x:v>1700</x:v>
      </x:c>
      <x:c r="I180" s="2" t="str">
        <x:v>оплачен</x:v>
      </x:c>
      <x:c r="J180" s="8" t="n">
        <x:f>IF(I180="оплачен",E180*F180-G180,0)</x:f>
        <x:v>2813</x:v>
      </x:c>
      <x:c r="K180" s="8" t="n">
        <x:f>IF(I180="оплачен",E180*H180,0)</x:f>
        <x:v>1700</x:v>
      </x:c>
      <x:c r="L180" s="8" t="n">
        <x:f>J180-K180</x:f>
        <x:v>1113</x:v>
      </x:c>
      <x:c r="M180" s="2" t="str">
        <x:f>TEXT(B180,"yyyy-mm")</x:f>
        <x:v>2026-09</x:v>
      </x:c>
      <x:c r="N180" s="2"/>
      <x:c r="O180" s="2"/>
      <x:c r="P180" s="2"/>
    </x:row>
    <x:row r="181" ht="26" customHeight="1">
      <x:c r="A181" s="2" t="str">
        <x:v>O180</x:v>
      </x:c>
      <x:c r="B181" s="7" t="d">
        <x:v>2026-09-12T00:00:00.000Z</x:v>
      </x:c>
      <x:c r="C181" s="2" t="str">
        <x:v>Рюкзак</x:v>
      </x:c>
      <x:c r="D181" s="2" t="str">
        <x:v>Сайт</x:v>
      </x:c>
      <x:c r="E181" s="29" t="n">
        <x:v>4</x:v>
      </x:c>
      <x:c r="F181" s="8" t="n">
        <x:v>3600</x:v>
      </x:c>
      <x:c r="G181" s="8" t="n">
        <x:v>432</x:v>
      </x:c>
      <x:c r="H181" s="8" t="n">
        <x:v>1900</x:v>
      </x:c>
      <x:c r="I181" s="2" t="str">
        <x:v>оплачен</x:v>
      </x:c>
      <x:c r="J181" s="8" t="n">
        <x:f>IF(I181="оплачен",E181*F181-G181,0)</x:f>
        <x:v>13968</x:v>
      </x:c>
      <x:c r="K181" s="8" t="n">
        <x:f>IF(I181="оплачен",E181*H181,0)</x:f>
        <x:v>7600</x:v>
      </x:c>
      <x:c r="L181" s="8" t="n">
        <x:f>J181-K181</x:f>
        <x:v>6368</x:v>
      </x:c>
      <x:c r="M181" s="2" t="str">
        <x:f>TEXT(B181,"yyyy-mm")</x:f>
        <x:v>2026-09</x:v>
      </x:c>
      <x:c r="N181" s="2"/>
      <x:c r="O181" s="2"/>
      <x:c r="P181" s="2"/>
    </x:row>
    <x:row r="182" ht="26" customHeight="1">
      <x:c r="A182" s="2" t="str">
        <x:v>O181</x:v>
      </x:c>
      <x:c r="B182" s="7" t="d">
        <x:v>2026-09-13T00:00:00.000Z</x:v>
      </x:c>
      <x:c r="C182" s="2" t="str">
        <x:v>Термокружка</x:v>
      </x:c>
      <x:c r="D182" s="2" t="str">
        <x:v>Маркетплейс</x:v>
      </x:c>
      <x:c r="E182" s="29" t="n">
        <x:v>4</x:v>
      </x:c>
      <x:c r="F182" s="8" t="n">
        <x:v>1600</x:v>
      </x:c>
      <x:c r="G182" s="8" t="n">
        <x:v>768</x:v>
      </x:c>
      <x:c r="H182" s="8" t="n">
        <x:v>650</x:v>
      </x:c>
      <x:c r="I182" s="2" t="str">
        <x:v>оплачен</x:v>
      </x:c>
      <x:c r="J182" s="8" t="n">
        <x:f>IF(I182="оплачен",E182*F182-G182,0)</x:f>
        <x:v>5632</x:v>
      </x:c>
      <x:c r="K182" s="8" t="n">
        <x:f>IF(I182="оплачен",E182*H182,0)</x:f>
        <x:v>2600</x:v>
      </x:c>
      <x:c r="L182" s="8" t="n">
        <x:f>J182-K182</x:f>
        <x:v>3032</x:v>
      </x:c>
      <x:c r="M182" s="2" t="str">
        <x:f>TEXT(B182,"yyyy-mm")</x:f>
        <x:v>2026-09</x:v>
      </x:c>
      <x:c r="N182" s="2"/>
      <x:c r="O182" s="2"/>
      <x:c r="P182" s="2"/>
    </x:row>
    <x:row r="183" ht="26" customHeight="1">
      <x:c r="A183" s="2" t="str">
        <x:v>O182</x:v>
      </x:c>
      <x:c r="B183" s="7" t="d">
        <x:v>2026-09-14T00:00:00.000Z</x:v>
      </x:c>
      <x:c r="C183" s="2" t="str">
        <x:v>Рюкзак</x:v>
      </x:c>
      <x:c r="D183" s="2" t="str">
        <x:v>Соцсети</x:v>
      </x:c>
      <x:c r="E183" s="29" t="n">
        <x:v>1</x:v>
      </x:c>
      <x:c r="F183" s="8" t="n">
        <x:v>3600</x:v>
      </x:c>
      <x:c r="G183" s="8" t="n">
        <x:v>108</x:v>
      </x:c>
      <x:c r="H183" s="8" t="n">
        <x:v>1900</x:v>
      </x:c>
      <x:c r="I183" s="2" t="str">
        <x:v>оплачен</x:v>
      </x:c>
      <x:c r="J183" s="8" t="n">
        <x:f>IF(I183="оплачен",E183*F183-G183,0)</x:f>
        <x:v>3492</x:v>
      </x:c>
      <x:c r="K183" s="8" t="n">
        <x:f>IF(I183="оплачен",E183*H183,0)</x:f>
        <x:v>1900</x:v>
      </x:c>
      <x:c r="L183" s="8" t="n">
        <x:f>J183-K183</x:f>
        <x:v>1592</x:v>
      </x:c>
      <x:c r="M183" s="2" t="str">
        <x:f>TEXT(B183,"yyyy-mm")</x:f>
        <x:v>2026-09</x:v>
      </x:c>
      <x:c r="N183" s="2"/>
      <x:c r="O183" s="2"/>
      <x:c r="P183" s="2"/>
    </x:row>
    <x:row r="184" ht="26" customHeight="1">
      <x:c r="A184" s="2" t="str">
        <x:v>O183</x:v>
      </x:c>
      <x:c r="B184" s="7" t="d">
        <x:v>2026-09-15T00:00:00.000Z</x:v>
      </x:c>
      <x:c r="C184" s="2" t="str">
        <x:v>Рюкзак</x:v>
      </x:c>
      <x:c r="D184" s="2" t="str">
        <x:v>Соцсети</x:v>
      </x:c>
      <x:c r="E184" s="29" t="n">
        <x:v>4</x:v>
      </x:c>
      <x:c r="F184" s="8" t="n">
        <x:v>3600</x:v>
      </x:c>
      <x:c r="G184" s="8" t="n">
        <x:v>432</x:v>
      </x:c>
      <x:c r="H184" s="8" t="n">
        <x:v>1900</x:v>
      </x:c>
      <x:c r="I184" s="2" t="str">
        <x:v>отменён</x:v>
      </x:c>
      <x:c r="J184" s="8" t="n">
        <x:f>IF(I184="оплачен",E184*F184-G184,0)</x:f>
        <x:v>0</x:v>
      </x:c>
      <x:c r="K184" s="8" t="n">
        <x:f>IF(I184="оплачен",E184*H184,0)</x:f>
        <x:v>0</x:v>
      </x:c>
      <x:c r="L184" s="8" t="n">
        <x:f>J184-K184</x:f>
        <x:v>0</x:v>
      </x:c>
      <x:c r="M184" s="2" t="str">
        <x:f>TEXT(B184,"yyyy-mm")</x:f>
        <x:v>2026-09</x:v>
      </x:c>
      <x:c r="N184" s="2"/>
      <x:c r="O184" s="2"/>
      <x:c r="P184" s="2"/>
    </x:row>
    <x:row r="185" ht="26" customHeight="1">
      <x:c r="A185" s="2" t="str">
        <x:v>O184</x:v>
      </x:c>
      <x:c r="B185" s="7" t="d">
        <x:v>2026-09-16T00:00:00.000Z</x:v>
      </x:c>
      <x:c r="C185" s="2" t="str">
        <x:v>Настольная лампа</x:v>
      </x:c>
      <x:c r="D185" s="2" t="str">
        <x:v>Маркетплейс</x:v>
      </x:c>
      <x:c r="E185" s="29" t="n">
        <x:v>3</x:v>
      </x:c>
      <x:c r="F185" s="8" t="n">
        <x:v>2900</x:v>
      </x:c>
      <x:c r="G185" s="8" t="n">
        <x:v>1044</x:v>
      </x:c>
      <x:c r="H185" s="8" t="n">
        <x:v>1700</x:v>
      </x:c>
      <x:c r="I185" s="2" t="str">
        <x:v>оплачен</x:v>
      </x:c>
      <x:c r="J185" s="8" t="n">
        <x:f>IF(I185="оплачен",E185*F185-G185,0)</x:f>
        <x:v>7656</x:v>
      </x:c>
      <x:c r="K185" s="8" t="n">
        <x:f>IF(I185="оплачен",E185*H185,0)</x:f>
        <x:v>5100</x:v>
      </x:c>
      <x:c r="L185" s="8" t="n">
        <x:f>J185-K185</x:f>
        <x:v>2556</x:v>
      </x:c>
      <x:c r="M185" s="2" t="str">
        <x:f>TEXT(B185,"yyyy-mm")</x:f>
        <x:v>2026-09</x:v>
      </x:c>
      <x:c r="N185" s="2"/>
      <x:c r="O185" s="2"/>
      <x:c r="P185" s="2"/>
    </x:row>
    <x:row r="186" ht="26" customHeight="1">
      <x:c r="A186" s="2" t="str">
        <x:v>O185</x:v>
      </x:c>
      <x:c r="B186" s="7" t="d">
        <x:v>2026-09-17T00:00:00.000Z</x:v>
      </x:c>
      <x:c r="C186" s="2" t="str">
        <x:v>Настольная лампа</x:v>
      </x:c>
      <x:c r="D186" s="2" t="str">
        <x:v>Маркетплейс</x:v>
      </x:c>
      <x:c r="E186" s="29" t="n">
        <x:v>4</x:v>
      </x:c>
      <x:c r="F186" s="8" t="n">
        <x:v>2900</x:v>
      </x:c>
      <x:c r="G186" s="8" t="n">
        <x:v>1392</x:v>
      </x:c>
      <x:c r="H186" s="8" t="n">
        <x:v>1700</x:v>
      </x:c>
      <x:c r="I186" s="2" t="str">
        <x:v>оплачен</x:v>
      </x:c>
      <x:c r="J186" s="8" t="n">
        <x:f>IF(I186="оплачен",E186*F186-G186,0)</x:f>
        <x:v>10208</x:v>
      </x:c>
      <x:c r="K186" s="8" t="n">
        <x:f>IF(I186="оплачен",E186*H186,0)</x:f>
        <x:v>6800</x:v>
      </x:c>
      <x:c r="L186" s="8" t="n">
        <x:f>J186-K186</x:f>
        <x:v>3408</x:v>
      </x:c>
      <x:c r="M186" s="2" t="str">
        <x:f>TEXT(B186,"yyyy-mm")</x:f>
        <x:v>2026-09</x:v>
      </x:c>
      <x:c r="N186" s="2"/>
      <x:c r="O186" s="2"/>
      <x:c r="P186" s="2"/>
    </x:row>
    <x:row r="187" ht="26" customHeight="1">
      <x:c r="A187" s="2" t="str">
        <x:v>O186</x:v>
      </x:c>
      <x:c r="B187" s="7" t="d">
        <x:v>2026-09-18T00:00:00.000Z</x:v>
      </x:c>
      <x:c r="C187" s="2" t="str">
        <x:v>Планер</x:v>
      </x:c>
      <x:c r="D187" s="2" t="str">
        <x:v>Маркетплейс</x:v>
      </x:c>
      <x:c r="E187" s="29" t="n">
        <x:v>1</x:v>
      </x:c>
      <x:c r="F187" s="8" t="n">
        <x:v>800</x:v>
      </x:c>
      <x:c r="G187" s="8" t="n">
        <x:v>96</x:v>
      </x:c>
      <x:c r="H187" s="8" t="n">
        <x:v>280</x:v>
      </x:c>
      <x:c r="I187" s="2" t="str">
        <x:v>оплачен</x:v>
      </x:c>
      <x:c r="J187" s="8" t="n">
        <x:f>IF(I187="оплачен",E187*F187-G187,0)</x:f>
        <x:v>704</x:v>
      </x:c>
      <x:c r="K187" s="8" t="n">
        <x:f>IF(I187="оплачен",E187*H187,0)</x:f>
        <x:v>280</x:v>
      </x:c>
      <x:c r="L187" s="8" t="n">
        <x:f>J187-K187</x:f>
        <x:v>424</x:v>
      </x:c>
      <x:c r="M187" s="2" t="str">
        <x:f>TEXT(B187,"yyyy-mm")</x:f>
        <x:v>2026-09</x:v>
      </x:c>
      <x:c r="N187" s="2"/>
      <x:c r="O187" s="2"/>
      <x:c r="P187" s="2"/>
    </x:row>
    <x:row r="188" ht="26" customHeight="1">
      <x:c r="A188" s="2" t="str">
        <x:v>O187</x:v>
      </x:c>
      <x:c r="B188" s="7" t="d">
        <x:v>2026-09-19T00:00:00.000Z</x:v>
      </x:c>
      <x:c r="C188" s="2" t="str">
        <x:v>Термокружка</x:v>
      </x:c>
      <x:c r="D188" s="2" t="str">
        <x:v>Сайт</x:v>
      </x:c>
      <x:c r="E188" s="29" t="n">
        <x:v>2</x:v>
      </x:c>
      <x:c r="F188" s="8" t="n">
        <x:v>1600</x:v>
      </x:c>
      <x:c r="G188" s="8" t="n">
        <x:v>96</x:v>
      </x:c>
      <x:c r="H188" s="8" t="n">
        <x:v>650</x:v>
      </x:c>
      <x:c r="I188" s="2" t="str">
        <x:v>оплачен</x:v>
      </x:c>
      <x:c r="J188" s="8" t="n">
        <x:f>IF(I188="оплачен",E188*F188-G188,0)</x:f>
        <x:v>3104</x:v>
      </x:c>
      <x:c r="K188" s="8" t="n">
        <x:f>IF(I188="оплачен",E188*H188,0)</x:f>
        <x:v>1300</x:v>
      </x:c>
      <x:c r="L188" s="8" t="n">
        <x:f>J188-K188</x:f>
        <x:v>1804</x:v>
      </x:c>
      <x:c r="M188" s="2" t="str">
        <x:f>TEXT(B188,"yyyy-mm")</x:f>
        <x:v>2026-09</x:v>
      </x:c>
      <x:c r="N188" s="2"/>
      <x:c r="O188" s="2"/>
      <x:c r="P188" s="2"/>
    </x:row>
    <x:row r="189" ht="26" customHeight="1">
      <x:c r="A189" s="2" t="str">
        <x:v>O188</x:v>
      </x:c>
      <x:c r="B189" s="7" t="d">
        <x:v>2026-09-20T00:00:00.000Z</x:v>
      </x:c>
      <x:c r="C189" s="2" t="str">
        <x:v>Термокружка</x:v>
      </x:c>
      <x:c r="D189" s="2" t="str">
        <x:v>Соцсети</x:v>
      </x:c>
      <x:c r="E189" s="29" t="n">
        <x:v>1</x:v>
      </x:c>
      <x:c r="F189" s="8" t="n">
        <x:v>1600</x:v>
      </x:c>
      <x:c r="G189" s="8" t="n">
        <x:v>48</x:v>
      </x:c>
      <x:c r="H189" s="8" t="n">
        <x:v>650</x:v>
      </x:c>
      <x:c r="I189" s="2" t="str">
        <x:v>возвращён</x:v>
      </x:c>
      <x:c r="J189" s="8" t="n">
        <x:f>IF(I189="оплачен",E189*F189-G189,0)</x:f>
        <x:v>0</x:v>
      </x:c>
      <x:c r="K189" s="8" t="n">
        <x:f>IF(I189="оплачен",E189*H189,0)</x:f>
        <x:v>0</x:v>
      </x:c>
      <x:c r="L189" s="8" t="n">
        <x:f>J189-K189</x:f>
        <x:v>0</x:v>
      </x:c>
      <x:c r="M189" s="2" t="str">
        <x:f>TEXT(B189,"yyyy-mm")</x:f>
        <x:v>2026-09</x:v>
      </x:c>
      <x:c r="N189" s="2"/>
      <x:c r="O189" s="2"/>
      <x:c r="P189" s="2"/>
    </x:row>
    <x:row r="190" ht="26" customHeight="1">
      <x:c r="A190" s="2" t="str">
        <x:v>O189</x:v>
      </x:c>
      <x:c r="B190" s="7" t="d">
        <x:v>2026-09-21T00:00:00.000Z</x:v>
      </x:c>
      <x:c r="C190" s="2" t="str">
        <x:v>Термокружка</x:v>
      </x:c>
      <x:c r="D190" s="2" t="str">
        <x:v>Маркетплейс</x:v>
      </x:c>
      <x:c r="E190" s="29" t="n">
        <x:v>3</x:v>
      </x:c>
      <x:c r="F190" s="8" t="n">
        <x:v>1600</x:v>
      </x:c>
      <x:c r="G190" s="8" t="n">
        <x:v>576</x:v>
      </x:c>
      <x:c r="H190" s="8" t="n">
        <x:v>650</x:v>
      </x:c>
      <x:c r="I190" s="2" t="str">
        <x:v>оплачен</x:v>
      </x:c>
      <x:c r="J190" s="8" t="n">
        <x:f>IF(I190="оплачен",E190*F190-G190,0)</x:f>
        <x:v>4224</x:v>
      </x:c>
      <x:c r="K190" s="8" t="n">
        <x:f>IF(I190="оплачен",E190*H190,0)</x:f>
        <x:v>1950</x:v>
      </x:c>
      <x:c r="L190" s="8" t="n">
        <x:f>J190-K190</x:f>
        <x:v>2274</x:v>
      </x:c>
      <x:c r="M190" s="2" t="str">
        <x:f>TEXT(B190,"yyyy-mm")</x:f>
        <x:v>2026-09</x:v>
      </x:c>
      <x:c r="N190" s="2"/>
      <x:c r="O190" s="2"/>
      <x:c r="P190" s="2"/>
    </x:row>
    <x:row r="191" ht="26" customHeight="1">
      <x:c r="A191" s="2" t="str">
        <x:v>O190</x:v>
      </x:c>
      <x:c r="B191" s="7" t="d">
        <x:v>2026-09-22T00:00:00.000Z</x:v>
      </x:c>
      <x:c r="C191" s="2" t="str">
        <x:v>Термокружка</x:v>
      </x:c>
      <x:c r="D191" s="2" t="str">
        <x:v>Сайт</x:v>
      </x:c>
      <x:c r="E191" s="29" t="n">
        <x:v>4</x:v>
      </x:c>
      <x:c r="F191" s="8" t="n">
        <x:v>1600</x:v>
      </x:c>
      <x:c r="G191" s="8" t="n">
        <x:v>192</x:v>
      </x:c>
      <x:c r="H191" s="8" t="n">
        <x:v>650</x:v>
      </x:c>
      <x:c r="I191" s="2" t="str">
        <x:v>оплачен</x:v>
      </x:c>
      <x:c r="J191" s="8" t="n">
        <x:f>IF(I191="оплачен",E191*F191-G191,0)</x:f>
        <x:v>6208</x:v>
      </x:c>
      <x:c r="K191" s="8" t="n">
        <x:f>IF(I191="оплачен",E191*H191,0)</x:f>
        <x:v>2600</x:v>
      </x:c>
      <x:c r="L191" s="8" t="n">
        <x:f>J191-K191</x:f>
        <x:v>3608</x:v>
      </x:c>
      <x:c r="M191" s="2" t="str">
        <x:f>TEXT(B191,"yyyy-mm")</x:f>
        <x:v>2026-09</x:v>
      </x:c>
      <x:c r="N191" s="2"/>
      <x:c r="O191" s="2"/>
      <x:c r="P191" s="2"/>
    </x:row>
    <x:row r="192" ht="26" customHeight="1">
      <x:c r="A192" s="2" t="str">
        <x:v>O191</x:v>
      </x:c>
      <x:c r="B192" s="7" t="d">
        <x:v>2026-09-23T00:00:00.000Z</x:v>
      </x:c>
      <x:c r="C192" s="2" t="str">
        <x:v>Планер</x:v>
      </x:c>
      <x:c r="D192" s="2" t="str">
        <x:v>Маркетплейс</x:v>
      </x:c>
      <x:c r="E192" s="29" t="n">
        <x:v>3</x:v>
      </x:c>
      <x:c r="F192" s="8" t="n">
        <x:v>800</x:v>
      </x:c>
      <x:c r="G192" s="8" t="n">
        <x:v>288</x:v>
      </x:c>
      <x:c r="H192" s="8" t="n">
        <x:v>280</x:v>
      </x:c>
      <x:c r="I192" s="2" t="str">
        <x:v>оплачен</x:v>
      </x:c>
      <x:c r="J192" s="8" t="n">
        <x:f>IF(I192="оплачен",E192*F192-G192,0)</x:f>
        <x:v>2112</x:v>
      </x:c>
      <x:c r="K192" s="8" t="n">
        <x:f>IF(I192="оплачен",E192*H192,0)</x:f>
        <x:v>840</x:v>
      </x:c>
      <x:c r="L192" s="8" t="n">
        <x:f>J192-K192</x:f>
        <x:v>1272</x:v>
      </x:c>
      <x:c r="M192" s="2" t="str">
        <x:f>TEXT(B192,"yyyy-mm")</x:f>
        <x:v>2026-09</x:v>
      </x:c>
      <x:c r="N192" s="2"/>
      <x:c r="O192" s="2"/>
      <x:c r="P192" s="2"/>
    </x:row>
    <x:row r="193" ht="26" customHeight="1">
      <x:c r="A193" s="2" t="str">
        <x:v>O192</x:v>
      </x:c>
      <x:c r="B193" s="7" t="d">
        <x:v>2026-09-24T00:00:00.000Z</x:v>
      </x:c>
      <x:c r="C193" s="2" t="str">
        <x:v>Рюкзак</x:v>
      </x:c>
      <x:c r="D193" s="2" t="str">
        <x:v>Соцсети</x:v>
      </x:c>
      <x:c r="E193" s="29" t="n">
        <x:v>3</x:v>
      </x:c>
      <x:c r="F193" s="8" t="n">
        <x:v>3600</x:v>
      </x:c>
      <x:c r="G193" s="8" t="n">
        <x:v>324</x:v>
      </x:c>
      <x:c r="H193" s="8" t="n">
        <x:v>1900</x:v>
      </x:c>
      <x:c r="I193" s="2" t="str">
        <x:v>оплачен</x:v>
      </x:c>
      <x:c r="J193" s="8" t="n">
        <x:f>IF(I193="оплачен",E193*F193-G193,0)</x:f>
        <x:v>10476</x:v>
      </x:c>
      <x:c r="K193" s="8" t="n">
        <x:f>IF(I193="оплачен",E193*H193,0)</x:f>
        <x:v>5700</x:v>
      </x:c>
      <x:c r="L193" s="8" t="n">
        <x:f>J193-K193</x:f>
        <x:v>4776</x:v>
      </x:c>
      <x:c r="M193" s="2" t="str">
        <x:f>TEXT(B193,"yyyy-mm")</x:f>
        <x:v>2026-09</x:v>
      </x:c>
      <x:c r="N193" s="2"/>
      <x:c r="O193" s="2"/>
      <x:c r="P193" s="2"/>
    </x:row>
    <x:row r="194" ht="26" customHeight="1">
      <x:c r="A194" s="2" t="str">
        <x:v>O193</x:v>
      </x:c>
      <x:c r="B194" s="7" t="d">
        <x:v>2026-09-25T00:00:00.000Z</x:v>
      </x:c>
      <x:c r="C194" s="2" t="str">
        <x:v>Рюкзак</x:v>
      </x:c>
      <x:c r="D194" s="2" t="str">
        <x:v>Маркетплейс</x:v>
      </x:c>
      <x:c r="E194" s="29" t="n">
        <x:v>1</x:v>
      </x:c>
      <x:c r="F194" s="8" t="n">
        <x:v>3600</x:v>
      </x:c>
      <x:c r="G194" s="8" t="n">
        <x:v>432</x:v>
      </x:c>
      <x:c r="H194" s="8" t="n">
        <x:v>1900</x:v>
      </x:c>
      <x:c r="I194" s="2" t="str">
        <x:v>оплачен</x:v>
      </x:c>
      <x:c r="J194" s="8" t="n">
        <x:f>IF(I194="оплачен",E194*F194-G194,0)</x:f>
        <x:v>3168</x:v>
      </x:c>
      <x:c r="K194" s="8" t="n">
        <x:f>IF(I194="оплачен",E194*H194,0)</x:f>
        <x:v>1900</x:v>
      </x:c>
      <x:c r="L194" s="8" t="n">
        <x:f>J194-K194</x:f>
        <x:v>1268</x:v>
      </x:c>
      <x:c r="M194" s="2" t="str">
        <x:f>TEXT(B194,"yyyy-mm")</x:f>
        <x:v>2026-09</x:v>
      </x:c>
      <x:c r="N194" s="2"/>
      <x:c r="O194" s="2"/>
      <x:c r="P194" s="2"/>
    </x:row>
    <x:row r="195" ht="26" customHeight="1">
      <x:c r="A195" s="2" t="str">
        <x:v>O194</x:v>
      </x:c>
      <x:c r="B195" s="7" t="d">
        <x:v>2026-09-26T00:00:00.000Z</x:v>
      </x:c>
      <x:c r="C195" s="2" t="str">
        <x:v>Термокружка</x:v>
      </x:c>
      <x:c r="D195" s="2" t="str">
        <x:v>Соцсети</x:v>
      </x:c>
      <x:c r="E195" s="29" t="n">
        <x:v>2</x:v>
      </x:c>
      <x:c r="F195" s="8" t="n">
        <x:v>1600</x:v>
      </x:c>
      <x:c r="G195" s="8" t="n">
        <x:v>96</x:v>
      </x:c>
      <x:c r="H195" s="8" t="n">
        <x:v>650</x:v>
      </x:c>
      <x:c r="I195" s="2" t="str">
        <x:v>оплачен</x:v>
      </x:c>
      <x:c r="J195" s="8" t="n">
        <x:f>IF(I195="оплачен",E195*F195-G195,0)</x:f>
        <x:v>3104</x:v>
      </x:c>
      <x:c r="K195" s="8" t="n">
        <x:f>IF(I195="оплачен",E195*H195,0)</x:f>
        <x:v>1300</x:v>
      </x:c>
      <x:c r="L195" s="8" t="n">
        <x:f>J195-K195</x:f>
        <x:v>1804</x:v>
      </x:c>
      <x:c r="M195" s="2" t="str">
        <x:f>TEXT(B195,"yyyy-mm")</x:f>
        <x:v>2026-09</x:v>
      </x:c>
      <x:c r="N195" s="2"/>
      <x:c r="O195" s="2"/>
      <x:c r="P195" s="2"/>
    </x:row>
    <x:row r="196" ht="26" customHeight="1">
      <x:c r="A196" s="2" t="str">
        <x:v>O195</x:v>
      </x:c>
      <x:c r="B196" s="7" t="d">
        <x:v>2026-09-27T00:00:00.000Z</x:v>
      </x:c>
      <x:c r="C196" s="2" t="str">
        <x:v>Настольная лампа</x:v>
      </x:c>
      <x:c r="D196" s="2" t="str">
        <x:v>Сайт</x:v>
      </x:c>
      <x:c r="E196" s="29" t="n">
        <x:v>4</x:v>
      </x:c>
      <x:c r="F196" s="8" t="n">
        <x:v>2900</x:v>
      </x:c>
      <x:c r="G196" s="8" t="n">
        <x:v>348</x:v>
      </x:c>
      <x:c r="H196" s="8" t="n">
        <x:v>1700</x:v>
      </x:c>
      <x:c r="I196" s="2" t="str">
        <x:v>оплачен</x:v>
      </x:c>
      <x:c r="J196" s="8" t="n">
        <x:f>IF(I196="оплачен",E196*F196-G196,0)</x:f>
        <x:v>11252</x:v>
      </x:c>
      <x:c r="K196" s="8" t="n">
        <x:f>IF(I196="оплачен",E196*H196,0)</x:f>
        <x:v>6800</x:v>
      </x:c>
      <x:c r="L196" s="8" t="n">
        <x:f>J196-K196</x:f>
        <x:v>4452</x:v>
      </x:c>
      <x:c r="M196" s="2" t="str">
        <x:f>TEXT(B196,"yyyy-mm")</x:f>
        <x:v>2026-09</x:v>
      </x:c>
      <x:c r="N196" s="2"/>
      <x:c r="O196" s="2"/>
      <x:c r="P196" s="2"/>
    </x:row>
    <x:row r="197" ht="26" customHeight="1">
      <x:c r="A197" s="2" t="str">
        <x:v>O196</x:v>
      </x:c>
      <x:c r="B197" s="7" t="d">
        <x:v>2026-09-28T00:00:00.000Z</x:v>
      </x:c>
      <x:c r="C197" s="2" t="str">
        <x:v>Планер</x:v>
      </x:c>
      <x:c r="D197" s="2" t="str">
        <x:v>Маркетплейс</x:v>
      </x:c>
      <x:c r="E197" s="29" t="n">
        <x:v>4</x:v>
      </x:c>
      <x:c r="F197" s="8" t="n">
        <x:v>800</x:v>
      </x:c>
      <x:c r="G197" s="8" t="n">
        <x:v>384</x:v>
      </x:c>
      <x:c r="H197" s="8" t="n">
        <x:v>280</x:v>
      </x:c>
      <x:c r="I197" s="2" t="str">
        <x:v>отменён</x:v>
      </x:c>
      <x:c r="J197" s="8" t="n">
        <x:f>IF(I197="оплачен",E197*F197-G197,0)</x:f>
        <x:v>0</x:v>
      </x:c>
      <x:c r="K197" s="8" t="n">
        <x:f>IF(I197="оплачен",E197*H197,0)</x:f>
        <x:v>0</x:v>
      </x:c>
      <x:c r="L197" s="8" t="n">
        <x:f>J197-K197</x:f>
        <x:v>0</x:v>
      </x:c>
      <x:c r="M197" s="2" t="str">
        <x:f>TEXT(B197,"yyyy-mm")</x:f>
        <x:v>2026-09</x:v>
      </x:c>
      <x:c r="N197" s="2"/>
      <x:c r="O197" s="2"/>
      <x:c r="P197" s="2"/>
    </x:row>
    <x:row r="198" ht="26" customHeight="1">
      <x:c r="A198" s="2" t="str">
        <x:v>O197</x:v>
      </x:c>
      <x:c r="B198" s="7" t="d">
        <x:v>2026-09-01T00:00:00.000Z</x:v>
      </x:c>
      <x:c r="C198" s="2" t="str">
        <x:v>Настольная лампа</x:v>
      </x:c>
      <x:c r="D198" s="2" t="str">
        <x:v>Соцсети</x:v>
      </x:c>
      <x:c r="E198" s="29" t="n">
        <x:v>4</x:v>
      </x:c>
      <x:c r="F198" s="8" t="n">
        <x:v>2900</x:v>
      </x:c>
      <x:c r="G198" s="8" t="n">
        <x:v>348</x:v>
      </x:c>
      <x:c r="H198" s="8" t="n">
        <x:v>1700</x:v>
      </x:c>
      <x:c r="I198" s="2" t="str">
        <x:v>оплачен</x:v>
      </x:c>
      <x:c r="J198" s="8" t="n">
        <x:f>IF(I198="оплачен",E198*F198-G198,0)</x:f>
        <x:v>11252</x:v>
      </x:c>
      <x:c r="K198" s="8" t="n">
        <x:f>IF(I198="оплачен",E198*H198,0)</x:f>
        <x:v>6800</x:v>
      </x:c>
      <x:c r="L198" s="8" t="n">
        <x:f>J198-K198</x:f>
        <x:v>4452</x:v>
      </x:c>
      <x:c r="M198" s="2" t="str">
        <x:f>TEXT(B198,"yyyy-mm")</x:f>
        <x:v>2026-09</x:v>
      </x:c>
      <x:c r="N198" s="2"/>
      <x:c r="O198" s="2"/>
      <x:c r="P198" s="2"/>
    </x:row>
    <x:row r="199" ht="26" customHeight="1">
      <x:c r="A199" s="2" t="str">
        <x:v>O198</x:v>
      </x:c>
      <x:c r="B199" s="7" t="d">
        <x:v>2026-09-02T00:00:00.000Z</x:v>
      </x:c>
      <x:c r="C199" s="2" t="str">
        <x:v>Термокружка</x:v>
      </x:c>
      <x:c r="D199" s="2" t="str">
        <x:v>Маркетплейс</x:v>
      </x:c>
      <x:c r="E199" s="29" t="n">
        <x:v>1</x:v>
      </x:c>
      <x:c r="F199" s="8" t="n">
        <x:v>1600</x:v>
      </x:c>
      <x:c r="G199" s="8" t="n">
        <x:v>192</x:v>
      </x:c>
      <x:c r="H199" s="8" t="n">
        <x:v>650</x:v>
      </x:c>
      <x:c r="I199" s="2" t="str">
        <x:v>оплачен</x:v>
      </x:c>
      <x:c r="J199" s="8" t="n">
        <x:f>IF(I199="оплачен",E199*F199-G199,0)</x:f>
        <x:v>1408</x:v>
      </x:c>
      <x:c r="K199" s="8" t="n">
        <x:f>IF(I199="оплачен",E199*H199,0)</x:f>
        <x:v>650</x:v>
      </x:c>
      <x:c r="L199" s="8" t="n">
        <x:f>J199-K199</x:f>
        <x:v>758</x:v>
      </x:c>
      <x:c r="M199" s="2" t="str">
        <x:f>TEXT(B199,"yyyy-mm")</x:f>
        <x:v>2026-09</x:v>
      </x:c>
      <x:c r="N199" s="2"/>
      <x:c r="O199" s="2"/>
      <x:c r="P199" s="2"/>
    </x:row>
    <x:row r="200" ht="26" customHeight="1">
      <x:c r="A200" s="2" t="str">
        <x:v>O199</x:v>
      </x:c>
      <x:c r="B200" s="7" t="d">
        <x:v>2026-09-03T00:00:00.000Z</x:v>
      </x:c>
      <x:c r="C200" s="2" t="str">
        <x:v>Рюкзак</x:v>
      </x:c>
      <x:c r="D200" s="2" t="str">
        <x:v>Соцсети</x:v>
      </x:c>
      <x:c r="E200" s="29" t="n">
        <x:v>3</x:v>
      </x:c>
      <x:c r="F200" s="8" t="n">
        <x:v>3600</x:v>
      </x:c>
      <x:c r="G200" s="8" t="n">
        <x:v>324</x:v>
      </x:c>
      <x:c r="H200" s="8" t="n">
        <x:v>1900</x:v>
      </x:c>
      <x:c r="I200" s="2" t="str">
        <x:v>оплачен</x:v>
      </x:c>
      <x:c r="J200" s="8" t="n">
        <x:f>IF(I200="оплачен",E200*F200-G200,0)</x:f>
        <x:v>10476</x:v>
      </x:c>
      <x:c r="K200" s="8" t="n">
        <x:f>IF(I200="оплачен",E200*H200,0)</x:f>
        <x:v>5700</x:v>
      </x:c>
      <x:c r="L200" s="8" t="n">
        <x:f>J200-K200</x:f>
        <x:v>4776</x:v>
      </x:c>
      <x:c r="M200" s="2" t="str">
        <x:f>TEXT(B200,"yyyy-mm")</x:f>
        <x:v>2026-09</x:v>
      </x:c>
      <x:c r="N200" s="2"/>
      <x:c r="O200" s="2"/>
      <x:c r="P200" s="2"/>
    </x:row>
    <x:row r="201" ht="26" customHeight="1">
      <x:c r="A201" s="2" t="str">
        <x:v>O200</x:v>
      </x:c>
      <x:c r="B201" s="7" t="d">
        <x:v>2026-09-04T00:00:00.000Z</x:v>
      </x:c>
      <x:c r="C201" s="2" t="str">
        <x:v>Настольная лампа</x:v>
      </x:c>
      <x:c r="D201" s="2" t="str">
        <x:v>Соцсети</x:v>
      </x:c>
      <x:c r="E201" s="29" t="n">
        <x:v>1</x:v>
      </x:c>
      <x:c r="F201" s="8" t="n">
        <x:v>2900</x:v>
      </x:c>
      <x:c r="G201" s="8" t="n">
        <x:v>87</x:v>
      </x:c>
      <x:c r="H201" s="8" t="n">
        <x:v>1700</x:v>
      </x:c>
      <x:c r="I201" s="2" t="str">
        <x:v>оплачен</x:v>
      </x:c>
      <x:c r="J201" s="8" t="n">
        <x:f>IF(I201="оплачен",E201*F201-G201,0)</x:f>
        <x:v>2813</x:v>
      </x:c>
      <x:c r="K201" s="8" t="n">
        <x:f>IF(I201="оплачен",E201*H201,0)</x:f>
        <x:v>1700</x:v>
      </x:c>
      <x:c r="L201" s="8" t="n">
        <x:f>J201-K201</x:f>
        <x:v>1113</x:v>
      </x:c>
      <x:c r="M201" s="2" t="str">
        <x:f>TEXT(B201,"yyyy-mm")</x:f>
        <x:v>2026-09</x:v>
      </x:c>
      <x:c r="N201" s="2"/>
      <x:c r="O201" s="2"/>
      <x:c r="P201" s="2"/>
    </x:row>
    <x:row r="202" ht="26" customHeight="1">
      <x:c r="A202" s="2" t="str">
        <x:v>O201</x:v>
      </x:c>
      <x:c r="B202" s="7" t="d">
        <x:v>2026-09-05T00:00:00.000Z</x:v>
      </x:c>
      <x:c r="C202" s="2" t="str">
        <x:v>Рюкзак</x:v>
      </x:c>
      <x:c r="D202" s="2" t="str">
        <x:v>Сайт</x:v>
      </x:c>
      <x:c r="E202" s="29" t="n">
        <x:v>1</x:v>
      </x:c>
      <x:c r="F202" s="8" t="n">
        <x:v>3600</x:v>
      </x:c>
      <x:c r="G202" s="8" t="n">
        <x:v>108</x:v>
      </x:c>
      <x:c r="H202" s="8" t="n">
        <x:v>1900</x:v>
      </x:c>
      <x:c r="I202" s="2" t="str">
        <x:v>оплачен</x:v>
      </x:c>
      <x:c r="J202" s="8" t="n">
        <x:f>IF(I202="оплачен",E202*F202-G202,0)</x:f>
        <x:v>3492</x:v>
      </x:c>
      <x:c r="K202" s="8" t="n">
        <x:f>IF(I202="оплачен",E202*H202,0)</x:f>
        <x:v>1900</x:v>
      </x:c>
      <x:c r="L202" s="8" t="n">
        <x:f>J202-K202</x:f>
        <x:v>1592</x:v>
      </x:c>
      <x:c r="M202" s="2" t="str">
        <x:f>TEXT(B202,"yyyy-mm")</x:f>
        <x:v>2026-09</x:v>
      </x:c>
      <x:c r="N202" s="2"/>
      <x:c r="O202" s="2"/>
      <x:c r="P202" s="2"/>
    </x:row>
    <x:row r="203" ht="26" customHeight="1">
      <x:c r="A203" s="2" t="str">
        <x:v>O202</x:v>
      </x:c>
      <x:c r="B203" s="7" t="d">
        <x:v>2026-09-06T00:00:00.000Z</x:v>
      </x:c>
      <x:c r="C203" s="2" t="str">
        <x:v>Рюкзак</x:v>
      </x:c>
      <x:c r="D203" s="2" t="str">
        <x:v>Соцсети</x:v>
      </x:c>
      <x:c r="E203" s="29" t="n">
        <x:v>3</x:v>
      </x:c>
      <x:c r="F203" s="8" t="n">
        <x:v>3600</x:v>
      </x:c>
      <x:c r="G203" s="8" t="n">
        <x:v>324</x:v>
      </x:c>
      <x:c r="H203" s="8" t="n">
        <x:v>1900</x:v>
      </x:c>
      <x:c r="I203" s="2" t="str">
        <x:v>оплачен</x:v>
      </x:c>
      <x:c r="J203" s="8" t="n">
        <x:f>IF(I203="оплачен",E203*F203-G203,0)</x:f>
        <x:v>10476</x:v>
      </x:c>
      <x:c r="K203" s="8" t="n">
        <x:f>IF(I203="оплачен",E203*H203,0)</x:f>
        <x:v>5700</x:v>
      </x:c>
      <x:c r="L203" s="8" t="n">
        <x:f>J203-K203</x:f>
        <x:v>4776</x:v>
      </x:c>
      <x:c r="M203" s="2" t="str">
        <x:f>TEXT(B203,"yyyy-mm")</x:f>
        <x:v>2026-09</x:v>
      </x:c>
      <x:c r="N203" s="2"/>
      <x:c r="O203" s="2"/>
      <x:c r="P203" s="2"/>
    </x:row>
    <x:row r="204" ht="26" customHeight="1">
      <x:c r="A204" s="2" t="str">
        <x:v>O203</x:v>
      </x:c>
      <x:c r="B204" s="7" t="d">
        <x:v>2026-09-07T00:00:00.000Z</x:v>
      </x:c>
      <x:c r="C204" s="2" t="str">
        <x:v>Планер</x:v>
      </x:c>
      <x:c r="D204" s="2" t="str">
        <x:v>Маркетплейс</x:v>
      </x:c>
      <x:c r="E204" s="29" t="n">
        <x:v>2</x:v>
      </x:c>
      <x:c r="F204" s="8" t="n">
        <x:v>800</x:v>
      </x:c>
      <x:c r="G204" s="8" t="n">
        <x:v>192</x:v>
      </x:c>
      <x:c r="H204" s="8" t="n">
        <x:v>280</x:v>
      </x:c>
      <x:c r="I204" s="2" t="str">
        <x:v>оплачен</x:v>
      </x:c>
      <x:c r="J204" s="8" t="n">
        <x:f>IF(I204="оплачен",E204*F204-G204,0)</x:f>
        <x:v>1408</x:v>
      </x:c>
      <x:c r="K204" s="8" t="n">
        <x:f>IF(I204="оплачен",E204*H204,0)</x:f>
        <x:v>560</x:v>
      </x:c>
      <x:c r="L204" s="8" t="n">
        <x:f>J204-K204</x:f>
        <x:v>848</x:v>
      </x:c>
      <x:c r="M204" s="2" t="str">
        <x:f>TEXT(B204,"yyyy-mm")</x:f>
        <x:v>2026-09</x:v>
      </x:c>
      <x:c r="N204" s="2"/>
      <x:c r="O204" s="2"/>
      <x:c r="P204" s="2"/>
    </x:row>
    <x:row r="205" ht="26" customHeight="1">
      <x:c r="A205" s="2" t="str">
        <x:v>O204</x:v>
      </x:c>
      <x:c r="B205" s="7" t="d">
        <x:v>2026-09-08T00:00:00.000Z</x:v>
      </x:c>
      <x:c r="C205" s="2" t="str">
        <x:v>Рюкзак</x:v>
      </x:c>
      <x:c r="D205" s="2" t="str">
        <x:v>Маркетплейс</x:v>
      </x:c>
      <x:c r="E205" s="29" t="n">
        <x:v>1</x:v>
      </x:c>
      <x:c r="F205" s="8" t="n">
        <x:v>3600</x:v>
      </x:c>
      <x:c r="G205" s="8" t="n">
        <x:v>432</x:v>
      </x:c>
      <x:c r="H205" s="8" t="n">
        <x:v>1900</x:v>
      </x:c>
      <x:c r="I205" s="2" t="str">
        <x:v>оплачен</x:v>
      </x:c>
      <x:c r="J205" s="8" t="n">
        <x:f>IF(I205="оплачен",E205*F205-G205,0)</x:f>
        <x:v>3168</x:v>
      </x:c>
      <x:c r="K205" s="8" t="n">
        <x:f>IF(I205="оплачен",E205*H205,0)</x:f>
        <x:v>1900</x:v>
      </x:c>
      <x:c r="L205" s="8" t="n">
        <x:f>J205-K205</x:f>
        <x:v>1268</x:v>
      </x:c>
      <x:c r="M205" s="2" t="str">
        <x:f>TEXT(B205,"yyyy-mm")</x:f>
        <x:v>2026-09</x:v>
      </x:c>
      <x:c r="N205" s="2"/>
      <x:c r="O205" s="2"/>
      <x:c r="P205" s="2"/>
    </x:row>
    <x:row r="206" ht="26" customHeight="1">
      <x:c r="A206" s="2" t="str">
        <x:v>O205</x:v>
      </x:c>
      <x:c r="B206" s="7" t="d">
        <x:v>2026-09-09T00:00:00.000Z</x:v>
      </x:c>
      <x:c r="C206" s="2" t="str">
        <x:v>Планер</x:v>
      </x:c>
      <x:c r="D206" s="2" t="str">
        <x:v>Маркетплейс</x:v>
      </x:c>
      <x:c r="E206" s="29" t="n">
        <x:v>1</x:v>
      </x:c>
      <x:c r="F206" s="8" t="n">
        <x:v>800</x:v>
      </x:c>
      <x:c r="G206" s="8" t="n">
        <x:v>96</x:v>
      </x:c>
      <x:c r="H206" s="8" t="n">
        <x:v>280</x:v>
      </x:c>
      <x:c r="I206" s="2" t="str">
        <x:v>возвращён</x:v>
      </x:c>
      <x:c r="J206" s="8" t="n">
        <x:f>IF(I206="оплачен",E206*F206-G206,0)</x:f>
        <x:v>0</x:v>
      </x:c>
      <x:c r="K206" s="8" t="n">
        <x:f>IF(I206="оплачен",E206*H206,0)</x:f>
        <x:v>0</x:v>
      </x:c>
      <x:c r="L206" s="8" t="n">
        <x:f>J206-K206</x:f>
        <x:v>0</x:v>
      </x:c>
      <x:c r="M206" s="2" t="str">
        <x:f>TEXT(B206,"yyyy-mm")</x:f>
        <x:v>2026-09</x:v>
      </x:c>
      <x:c r="N206" s="2"/>
      <x:c r="O206" s="2"/>
      <x:c r="P206" s="2"/>
    </x:row>
    <x:row r="207" ht="26" customHeight="1">
      <x:c r="A207" s="2" t="str">
        <x:v>O206</x:v>
      </x:c>
      <x:c r="B207" s="7" t="d">
        <x:v>2026-09-10T00:00:00.000Z</x:v>
      </x:c>
      <x:c r="C207" s="2" t="str">
        <x:v>Настольная лампа</x:v>
      </x:c>
      <x:c r="D207" s="2" t="str">
        <x:v>Соцсети</x:v>
      </x:c>
      <x:c r="E207" s="29" t="n">
        <x:v>2</x:v>
      </x:c>
      <x:c r="F207" s="8" t="n">
        <x:v>2900</x:v>
      </x:c>
      <x:c r="G207" s="8" t="n">
        <x:v>174</x:v>
      </x:c>
      <x:c r="H207" s="8" t="n">
        <x:v>1700</x:v>
      </x:c>
      <x:c r="I207" s="2" t="str">
        <x:v>оплачен</x:v>
      </x:c>
      <x:c r="J207" s="8" t="n">
        <x:f>IF(I207="оплачен",E207*F207-G207,0)</x:f>
        <x:v>5626</x:v>
      </x:c>
      <x:c r="K207" s="8" t="n">
        <x:f>IF(I207="оплачен",E207*H207,0)</x:f>
        <x:v>3400</x:v>
      </x:c>
      <x:c r="L207" s="8" t="n">
        <x:f>J207-K207</x:f>
        <x:v>2226</x:v>
      </x:c>
      <x:c r="M207" s="2" t="str">
        <x:f>TEXT(B207,"yyyy-mm")</x:f>
        <x:v>2026-09</x:v>
      </x:c>
      <x:c r="N207" s="2"/>
      <x:c r="O207" s="2"/>
      <x:c r="P207" s="2"/>
    </x:row>
    <x:row r="208" ht="26" customHeight="1">
      <x:c r="A208" s="2" t="str">
        <x:v>O207</x:v>
      </x:c>
      <x:c r="B208" s="7" t="d">
        <x:v>2026-09-11T00:00:00.000Z</x:v>
      </x:c>
      <x:c r="C208" s="2" t="str">
        <x:v>Планер</x:v>
      </x:c>
      <x:c r="D208" s="2" t="str">
        <x:v>Соцсети</x:v>
      </x:c>
      <x:c r="E208" s="29" t="n">
        <x:v>3</x:v>
      </x:c>
      <x:c r="F208" s="8" t="n">
        <x:v>800</x:v>
      </x:c>
      <x:c r="G208" s="8" t="n">
        <x:v>72</x:v>
      </x:c>
      <x:c r="H208" s="8" t="n">
        <x:v>280</x:v>
      </x:c>
      <x:c r="I208" s="2" t="str">
        <x:v>оплачен</x:v>
      </x:c>
      <x:c r="J208" s="8" t="n">
        <x:f>IF(I208="оплачен",E208*F208-G208,0)</x:f>
        <x:v>2328</x:v>
      </x:c>
      <x:c r="K208" s="8" t="n">
        <x:f>IF(I208="оплачен",E208*H208,0)</x:f>
        <x:v>840</x:v>
      </x:c>
      <x:c r="L208" s="8" t="n">
        <x:f>J208-K208</x:f>
        <x:v>1488</x:v>
      </x:c>
      <x:c r="M208" s="2" t="str">
        <x:f>TEXT(B208,"yyyy-mm")</x:f>
        <x:v>2026-09</x:v>
      </x:c>
      <x:c r="N208" s="2"/>
      <x:c r="O208" s="2"/>
      <x:c r="P208" s="2"/>
    </x:row>
    <x:row r="209" ht="26" customHeight="1">
      <x:c r="A209" s="2" t="str">
        <x:v>O208</x:v>
      </x:c>
      <x:c r="B209" s="7" t="d">
        <x:v>2026-09-12T00:00:00.000Z</x:v>
      </x:c>
      <x:c r="C209" s="2" t="str">
        <x:v>Рюкзак</x:v>
      </x:c>
      <x:c r="D209" s="2" t="str">
        <x:v>Маркетплейс</x:v>
      </x:c>
      <x:c r="E209" s="29" t="n">
        <x:v>4</x:v>
      </x:c>
      <x:c r="F209" s="8" t="n">
        <x:v>3600</x:v>
      </x:c>
      <x:c r="G209" s="8" t="n">
        <x:v>1728</x:v>
      </x:c>
      <x:c r="H209" s="8" t="n">
        <x:v>1900</x:v>
      </x:c>
      <x:c r="I209" s="2" t="str">
        <x:v>оплачен</x:v>
      </x:c>
      <x:c r="J209" s="8" t="n">
        <x:f>IF(I209="оплачен",E209*F209-G209,0)</x:f>
        <x:v>12672</x:v>
      </x:c>
      <x:c r="K209" s="8" t="n">
        <x:f>IF(I209="оплачен",E209*H209,0)</x:f>
        <x:v>7600</x:v>
      </x:c>
      <x:c r="L209" s="8" t="n">
        <x:f>J209-K209</x:f>
        <x:v>5072</x:v>
      </x:c>
      <x:c r="M209" s="2" t="str">
        <x:f>TEXT(B209,"yyyy-mm")</x:f>
        <x:v>2026-09</x:v>
      </x:c>
      <x:c r="N209" s="2"/>
      <x:c r="O209" s="2"/>
      <x:c r="P209" s="2"/>
    </x:row>
    <x:row r="210" ht="26" customHeight="1">
      <x:c r="A210" s="2" t="str">
        <x:v>O209</x:v>
      </x:c>
      <x:c r="B210" s="7" t="d">
        <x:v>2026-09-13T00:00:00.000Z</x:v>
      </x:c>
      <x:c r="C210" s="2" t="str">
        <x:v>Планер</x:v>
      </x:c>
      <x:c r="D210" s="2" t="str">
        <x:v>Маркетплейс</x:v>
      </x:c>
      <x:c r="E210" s="29" t="n">
        <x:v>3</x:v>
      </x:c>
      <x:c r="F210" s="8" t="n">
        <x:v>800</x:v>
      </x:c>
      <x:c r="G210" s="8" t="n">
        <x:v>288</x:v>
      </x:c>
      <x:c r="H210" s="8" t="n">
        <x:v>280</x:v>
      </x:c>
      <x:c r="I210" s="2" t="str">
        <x:v>отменён</x:v>
      </x:c>
      <x:c r="J210" s="8" t="n">
        <x:f>IF(I210="оплачен",E210*F210-G210,0)</x:f>
        <x:v>0</x:v>
      </x:c>
      <x:c r="K210" s="8" t="n">
        <x:f>IF(I210="оплачен",E210*H210,0)</x:f>
        <x:v>0</x:v>
      </x:c>
      <x:c r="L210" s="8" t="n">
        <x:f>J210-K210</x:f>
        <x:v>0</x:v>
      </x:c>
      <x:c r="M210" s="2" t="str">
        <x:f>TEXT(B210,"yyyy-mm")</x:f>
        <x:v>2026-09</x:v>
      </x:c>
      <x:c r="N210" s="2"/>
      <x:c r="O210" s="2"/>
      <x:c r="P210" s="2"/>
    </x:row>
    <x:row r="211" ht="26" customHeight="1">
      <x:c r="A211" s="2" t="str">
        <x:v>O210</x:v>
      </x:c>
      <x:c r="B211" s="7" t="d">
        <x:v>2026-09-14T00:00:00.000Z</x:v>
      </x:c>
      <x:c r="C211" s="2" t="str">
        <x:v>Планер</x:v>
      </x:c>
      <x:c r="D211" s="2" t="str">
        <x:v>Соцсети</x:v>
      </x:c>
      <x:c r="E211" s="29" t="n">
        <x:v>1</x:v>
      </x:c>
      <x:c r="F211" s="8" t="n">
        <x:v>800</x:v>
      </x:c>
      <x:c r="G211" s="8" t="n">
        <x:v>24</x:v>
      </x:c>
      <x:c r="H211" s="8" t="n">
        <x:v>280</x:v>
      </x:c>
      <x:c r="I211" s="2" t="str">
        <x:v>оплачен</x:v>
      </x:c>
      <x:c r="J211" s="8" t="n">
        <x:f>IF(I211="оплачен",E211*F211-G211,0)</x:f>
        <x:v>776</x:v>
      </x:c>
      <x:c r="K211" s="8" t="n">
        <x:f>IF(I211="оплачен",E211*H211,0)</x:f>
        <x:v>280</x:v>
      </x:c>
      <x:c r="L211" s="8" t="n">
        <x:f>J211-K211</x:f>
        <x:v>496</x:v>
      </x:c>
      <x:c r="M211" s="2" t="str">
        <x:f>TEXT(B211,"yyyy-mm")</x:f>
        <x:v>2026-09</x:v>
      </x:c>
      <x:c r="N211" s="2"/>
      <x:c r="O211" s="2"/>
      <x:c r="P211" s="2"/>
    </x:row>
    <x:row r="212" ht="26" customHeight="1">
      <x:c r="A212" s="2" t="str">
        <x:v>O211</x:v>
      </x:c>
      <x:c r="B212" s="7" t="d">
        <x:v>2026-09-15T00:00:00.000Z</x:v>
      </x:c>
      <x:c r="C212" s="2" t="str">
        <x:v>Рюкзак</x:v>
      </x:c>
      <x:c r="D212" s="2" t="str">
        <x:v>Сайт</x:v>
      </x:c>
      <x:c r="E212" s="29" t="n">
        <x:v>3</x:v>
      </x:c>
      <x:c r="F212" s="8" t="n">
        <x:v>3600</x:v>
      </x:c>
      <x:c r="G212" s="8" t="n">
        <x:v>324</x:v>
      </x:c>
      <x:c r="H212" s="8" t="n">
        <x:v>1900</x:v>
      </x:c>
      <x:c r="I212" s="2" t="str">
        <x:v>оплачен</x:v>
      </x:c>
      <x:c r="J212" s="8" t="n">
        <x:f>IF(I212="оплачен",E212*F212-G212,0)</x:f>
        <x:v>10476</x:v>
      </x:c>
      <x:c r="K212" s="8" t="n">
        <x:f>IF(I212="оплачен",E212*H212,0)</x:f>
        <x:v>5700</x:v>
      </x:c>
      <x:c r="L212" s="8" t="n">
        <x:f>J212-K212</x:f>
        <x:v>4776</x:v>
      </x:c>
      <x:c r="M212" s="2" t="str">
        <x:f>TEXT(B212,"yyyy-mm")</x:f>
        <x:v>2026-09</x:v>
      </x:c>
      <x:c r="N212" s="2"/>
      <x:c r="O212" s="2"/>
      <x:c r="P212" s="2"/>
    </x:row>
    <x:row r="213" ht="26" customHeight="1">
      <x:c r="A213" s="2" t="str">
        <x:v>O212</x:v>
      </x:c>
      <x:c r="B213" s="7" t="d">
        <x:v>2026-09-16T00:00:00.000Z</x:v>
      </x:c>
      <x:c r="C213" s="2" t="str">
        <x:v>Рюкзак</x:v>
      </x:c>
      <x:c r="D213" s="2" t="str">
        <x:v>Сайт</x:v>
      </x:c>
      <x:c r="E213" s="29" t="n">
        <x:v>3</x:v>
      </x:c>
      <x:c r="F213" s="8" t="n">
        <x:v>3600</x:v>
      </x:c>
      <x:c r="G213" s="8" t="n">
        <x:v>324</x:v>
      </x:c>
      <x:c r="H213" s="8" t="n">
        <x:v>1900</x:v>
      </x:c>
      <x:c r="I213" s="2" t="str">
        <x:v>оплачен</x:v>
      </x:c>
      <x:c r="J213" s="8" t="n">
        <x:f>IF(I213="оплачен",E213*F213-G213,0)</x:f>
        <x:v>10476</x:v>
      </x:c>
      <x:c r="K213" s="8" t="n">
        <x:f>IF(I213="оплачен",E213*H213,0)</x:f>
        <x:v>5700</x:v>
      </x:c>
      <x:c r="L213" s="8" t="n">
        <x:f>J213-K213</x:f>
        <x:v>4776</x:v>
      </x:c>
      <x:c r="M213" s="2" t="str">
        <x:f>TEXT(B213,"yyyy-mm")</x:f>
        <x:v>2026-09</x:v>
      </x:c>
      <x:c r="N213" s="2"/>
      <x:c r="O213" s="2"/>
      <x:c r="P213" s="2"/>
    </x:row>
    <x:row r="214" ht="26" customHeight="1">
      <x:c r="A214" s="2" t="str">
        <x:v>O213</x:v>
      </x:c>
      <x:c r="B214" s="7" t="d">
        <x:v>2026-09-17T00:00:00.000Z</x:v>
      </x:c>
      <x:c r="C214" s="2" t="str">
        <x:v>Термокружка</x:v>
      </x:c>
      <x:c r="D214" s="2" t="str">
        <x:v>Маркетплейс</x:v>
      </x:c>
      <x:c r="E214" s="29" t="n">
        <x:v>2</x:v>
      </x:c>
      <x:c r="F214" s="8" t="n">
        <x:v>1600</x:v>
      </x:c>
      <x:c r="G214" s="8" t="n">
        <x:v>384</x:v>
      </x:c>
      <x:c r="H214" s="8" t="n">
        <x:v>650</x:v>
      </x:c>
      <x:c r="I214" s="2" t="str">
        <x:v>оплачен</x:v>
      </x:c>
      <x:c r="J214" s="8" t="n">
        <x:f>IF(I214="оплачен",E214*F214-G214,0)</x:f>
        <x:v>2816</x:v>
      </x:c>
      <x:c r="K214" s="8" t="n">
        <x:f>IF(I214="оплачен",E214*H214,0)</x:f>
        <x:v>1300</x:v>
      </x:c>
      <x:c r="L214" s="8" t="n">
        <x:f>J214-K214</x:f>
        <x:v>1516</x:v>
      </x:c>
      <x:c r="M214" s="2" t="str">
        <x:f>TEXT(B214,"yyyy-mm")</x:f>
        <x:v>2026-09</x:v>
      </x:c>
      <x:c r="N214" s="2"/>
      <x:c r="O214" s="2"/>
      <x:c r="P214" s="2"/>
    </x:row>
    <x:row r="215" ht="26" customHeight="1">
      <x:c r="A215" s="2" t="str">
        <x:v>O214</x:v>
      </x:c>
      <x:c r="B215" s="7" t="d">
        <x:v>2026-09-18T00:00:00.000Z</x:v>
      </x:c>
      <x:c r="C215" s="2" t="str">
        <x:v>Рюкзак</x:v>
      </x:c>
      <x:c r="D215" s="2" t="str">
        <x:v>Соцсети</x:v>
      </x:c>
      <x:c r="E215" s="29" t="n">
        <x:v>1</x:v>
      </x:c>
      <x:c r="F215" s="8" t="n">
        <x:v>3600</x:v>
      </x:c>
      <x:c r="G215" s="8" t="n">
        <x:v>108</x:v>
      </x:c>
      <x:c r="H215" s="8" t="n">
        <x:v>1900</x:v>
      </x:c>
      <x:c r="I215" s="2" t="str">
        <x:v>оплачен</x:v>
      </x:c>
      <x:c r="J215" s="8" t="n">
        <x:f>IF(I215="оплачен",E215*F215-G215,0)</x:f>
        <x:v>3492</x:v>
      </x:c>
      <x:c r="K215" s="8" t="n">
        <x:f>IF(I215="оплачен",E215*H215,0)</x:f>
        <x:v>1900</x:v>
      </x:c>
      <x:c r="L215" s="8" t="n">
        <x:f>J215-K215</x:f>
        <x:v>1592</x:v>
      </x:c>
      <x:c r="M215" s="2" t="str">
        <x:f>TEXT(B215,"yyyy-mm")</x:f>
        <x:v>2026-09</x:v>
      </x:c>
      <x:c r="N215" s="2"/>
      <x:c r="O215" s="2"/>
      <x:c r="P215" s="2"/>
    </x:row>
    <x:row r="216" ht="26" customHeight="1">
      <x:c r="A216" s="2" t="str">
        <x:v>O215</x:v>
      </x:c>
      <x:c r="B216" s="7" t="d">
        <x:v>2026-09-19T00:00:00.000Z</x:v>
      </x:c>
      <x:c r="C216" s="2" t="str">
        <x:v>Планер</x:v>
      </x:c>
      <x:c r="D216" s="2" t="str">
        <x:v>Маркетплейс</x:v>
      </x:c>
      <x:c r="E216" s="29" t="n">
        <x:v>4</x:v>
      </x:c>
      <x:c r="F216" s="8" t="n">
        <x:v>800</x:v>
      </x:c>
      <x:c r="G216" s="8" t="n">
        <x:v>384</x:v>
      </x:c>
      <x:c r="H216" s="8" t="n">
        <x:v>280</x:v>
      </x:c>
      <x:c r="I216" s="2" t="str">
        <x:v>оплачен</x:v>
      </x:c>
      <x:c r="J216" s="8" t="n">
        <x:f>IF(I216="оплачен",E216*F216-G216,0)</x:f>
        <x:v>2816</x:v>
      </x:c>
      <x:c r="K216" s="8" t="n">
        <x:f>IF(I216="оплачен",E216*H216,0)</x:f>
        <x:v>1120</x:v>
      </x:c>
      <x:c r="L216" s="8" t="n">
        <x:f>J216-K216</x:f>
        <x:v>1696</x:v>
      </x:c>
      <x:c r="M216" s="2" t="str">
        <x:f>TEXT(B216,"yyyy-mm")</x:f>
        <x:v>2026-09</x:v>
      </x:c>
      <x:c r="N216" s="2"/>
      <x:c r="O216" s="2"/>
      <x:c r="P216" s="2"/>
    </x:row>
    <x:row r="217" ht="26" customHeight="1">
      <x:c r="A217" s="2" t="str">
        <x:v>O216</x:v>
      </x:c>
      <x:c r="B217" s="7" t="d">
        <x:v>2026-09-20T00:00:00.000Z</x:v>
      </x:c>
      <x:c r="C217" s="2" t="str">
        <x:v>Планер</x:v>
      </x:c>
      <x:c r="D217" s="2" t="str">
        <x:v>Маркетплейс</x:v>
      </x:c>
      <x:c r="E217" s="29" t="n">
        <x:v>3</x:v>
      </x:c>
      <x:c r="F217" s="8" t="n">
        <x:v>800</x:v>
      </x:c>
      <x:c r="G217" s="8" t="n">
        <x:v>288</x:v>
      </x:c>
      <x:c r="H217" s="8" t="n">
        <x:v>280</x:v>
      </x:c>
      <x:c r="I217" s="2" t="str">
        <x:v>оплачен</x:v>
      </x:c>
      <x:c r="J217" s="8" t="n">
        <x:f>IF(I217="оплачен",E217*F217-G217,0)</x:f>
        <x:v>2112</x:v>
      </x:c>
      <x:c r="K217" s="8" t="n">
        <x:f>IF(I217="оплачен",E217*H217,0)</x:f>
        <x:v>840</x:v>
      </x:c>
      <x:c r="L217" s="8" t="n">
        <x:f>J217-K217</x:f>
        <x:v>1272</x:v>
      </x:c>
      <x:c r="M217" s="2" t="str">
        <x:f>TEXT(B217,"yyyy-mm")</x:f>
        <x:v>2026-09</x:v>
      </x:c>
      <x:c r="N217" s="2"/>
      <x:c r="O217" s="2"/>
      <x:c r="P217" s="2"/>
    </x:row>
    <x:row r="218" ht="26" customHeight="1">
      <x:c r="A218" s="2" t="str">
        <x:v>O217</x:v>
      </x:c>
      <x:c r="B218" s="7" t="d">
        <x:v>2026-09-21T00:00:00.000Z</x:v>
      </x:c>
      <x:c r="C218" s="2" t="str">
        <x:v>Термокружка</x:v>
      </x:c>
      <x:c r="D218" s="2" t="str">
        <x:v>Маркетплейс</x:v>
      </x:c>
      <x:c r="E218" s="29" t="n">
        <x:v>3</x:v>
      </x:c>
      <x:c r="F218" s="8" t="n">
        <x:v>1600</x:v>
      </x:c>
      <x:c r="G218" s="8" t="n">
        <x:v>576</x:v>
      </x:c>
      <x:c r="H218" s="8" t="n">
        <x:v>650</x:v>
      </x:c>
      <x:c r="I218" s="2" t="str">
        <x:v>оплачен</x:v>
      </x:c>
      <x:c r="J218" s="8" t="n">
        <x:f>IF(I218="оплачен",E218*F218-G218,0)</x:f>
        <x:v>4224</x:v>
      </x:c>
      <x:c r="K218" s="8" t="n">
        <x:f>IF(I218="оплачен",E218*H218,0)</x:f>
        <x:v>1950</x:v>
      </x:c>
      <x:c r="L218" s="8" t="n">
        <x:f>J218-K218</x:f>
        <x:v>2274</x:v>
      </x:c>
      <x:c r="M218" s="2" t="str">
        <x:f>TEXT(B218,"yyyy-mm")</x:f>
        <x:v>2026-09</x:v>
      </x:c>
      <x:c r="N218" s="2"/>
      <x:c r="O218" s="2"/>
      <x:c r="P218" s="2"/>
    </x:row>
    <x:row r="219" ht="26" customHeight="1">
      <x:c r="A219" s="2" t="str">
        <x:v>O218</x:v>
      </x:c>
      <x:c r="B219" s="7" t="d">
        <x:v>2026-09-22T00:00:00.000Z</x:v>
      </x:c>
      <x:c r="C219" s="2" t="str">
        <x:v>Рюкзак</x:v>
      </x:c>
      <x:c r="D219" s="2" t="str">
        <x:v>Маркетплейс</x:v>
      </x:c>
      <x:c r="E219" s="29" t="n">
        <x:v>2</x:v>
      </x:c>
      <x:c r="F219" s="8" t="n">
        <x:v>3600</x:v>
      </x:c>
      <x:c r="G219" s="8" t="n">
        <x:v>864</x:v>
      </x:c>
      <x:c r="H219" s="8" t="n">
        <x:v>1900</x:v>
      </x:c>
      <x:c r="I219" s="2" t="str">
        <x:v>оплачен</x:v>
      </x:c>
      <x:c r="J219" s="8" t="n">
        <x:f>IF(I219="оплачен",E219*F219-G219,0)</x:f>
        <x:v>6336</x:v>
      </x:c>
      <x:c r="K219" s="8" t="n">
        <x:f>IF(I219="оплачен",E219*H219,0)</x:f>
        <x:v>3800</x:v>
      </x:c>
      <x:c r="L219" s="8" t="n">
        <x:f>J219-K219</x:f>
        <x:v>2536</x:v>
      </x:c>
      <x:c r="M219" s="2" t="str">
        <x:f>TEXT(B219,"yyyy-mm")</x:f>
        <x:v>2026-09</x:v>
      </x:c>
      <x:c r="N219" s="2"/>
      <x:c r="O219" s="2"/>
      <x:c r="P219" s="2"/>
    </x:row>
    <x:row r="220" ht="26" customHeight="1">
      <x:c r="A220" s="2" t="str">
        <x:v>O219</x:v>
      </x:c>
      <x:c r="B220" s="7" t="d">
        <x:v>2026-09-23T00:00:00.000Z</x:v>
      </x:c>
      <x:c r="C220" s="2" t="str">
        <x:v>Термокружка</x:v>
      </x:c>
      <x:c r="D220" s="2" t="str">
        <x:v>Маркетплейс</x:v>
      </x:c>
      <x:c r="E220" s="29" t="n">
        <x:v>1</x:v>
      </x:c>
      <x:c r="F220" s="8" t="n">
        <x:v>1600</x:v>
      </x:c>
      <x:c r="G220" s="8" t="n">
        <x:v>192</x:v>
      </x:c>
      <x:c r="H220" s="8" t="n">
        <x:v>650</x:v>
      </x:c>
      <x:c r="I220" s="2" t="str">
        <x:v>оплачен</x:v>
      </x:c>
      <x:c r="J220" s="8" t="n">
        <x:f>IF(I220="оплачен",E220*F220-G220,0)</x:f>
        <x:v>1408</x:v>
      </x:c>
      <x:c r="K220" s="8" t="n">
        <x:f>IF(I220="оплачен",E220*H220,0)</x:f>
        <x:v>650</x:v>
      </x:c>
      <x:c r="L220" s="8" t="n">
        <x:f>J220-K220</x:f>
        <x:v>758</x:v>
      </x:c>
      <x:c r="M220" s="2" t="str">
        <x:f>TEXT(B220,"yyyy-mm")</x:f>
        <x:v>2026-09</x:v>
      </x:c>
      <x:c r="N220" s="2"/>
      <x:c r="O220" s="2"/>
      <x:c r="P220" s="2"/>
    </x:row>
    <x:row r="221" ht="26" customHeight="1">
      <x:c r="A221" s="2" t="str">
        <x:v>O220</x:v>
      </x:c>
      <x:c r="B221" s="7" t="d">
        <x:v>2026-09-24T00:00:00.000Z</x:v>
      </x:c>
      <x:c r="C221" s="2" t="str">
        <x:v>Настольная лампа</x:v>
      </x:c>
      <x:c r="D221" s="2" t="str">
        <x:v>Маркетплейс</x:v>
      </x:c>
      <x:c r="E221" s="29" t="n">
        <x:v>1</x:v>
      </x:c>
      <x:c r="F221" s="8" t="n">
        <x:v>2900</x:v>
      </x:c>
      <x:c r="G221" s="8" t="n">
        <x:v>348</x:v>
      </x:c>
      <x:c r="H221" s="8" t="n">
        <x:v>1700</x:v>
      </x:c>
      <x:c r="I221" s="2" t="str">
        <x:v>оплачен</x:v>
      </x:c>
      <x:c r="J221" s="8" t="n">
        <x:f>IF(I221="оплачен",E221*F221-G221,0)</x:f>
        <x:v>2552</x:v>
      </x:c>
      <x:c r="K221" s="8" t="n">
        <x:f>IF(I221="оплачен",E221*H221,0)</x:f>
        <x:v>1700</x:v>
      </x:c>
      <x:c r="L221" s="8" t="n">
        <x:f>J221-K221</x:f>
        <x:v>852</x:v>
      </x:c>
      <x:c r="M221" s="2" t="str">
        <x:f>TEXT(B221,"yyyy-mm")</x:f>
        <x:v>2026-09</x:v>
      </x:c>
      <x:c r="N221" s="2"/>
      <x:c r="O221" s="2"/>
      <x:c r="P221" s="2"/>
    </x:row>
    <x:row r="222" ht="26" customHeight="1">
      <x:c r="A222" s="2" t="str">
        <x:v>O221</x:v>
      </x:c>
      <x:c r="B222" s="7" t="d">
        <x:v>2026-09-25T00:00:00.000Z</x:v>
      </x:c>
      <x:c r="C222" s="2" t="str">
        <x:v>Рюкзак</x:v>
      </x:c>
      <x:c r="D222" s="2" t="str">
        <x:v>Маркетплейс</x:v>
      </x:c>
      <x:c r="E222" s="29" t="n">
        <x:v>2</x:v>
      </x:c>
      <x:c r="F222" s="8" t="n">
        <x:v>3600</x:v>
      </x:c>
      <x:c r="G222" s="8" t="n">
        <x:v>864</x:v>
      </x:c>
      <x:c r="H222" s="8" t="n">
        <x:v>1900</x:v>
      </x:c>
      <x:c r="I222" s="2" t="str">
        <x:v>оплачен</x:v>
      </x:c>
      <x:c r="J222" s="8" t="n">
        <x:f>IF(I222="оплачен",E222*F222-G222,0)</x:f>
        <x:v>6336</x:v>
      </x:c>
      <x:c r="K222" s="8" t="n">
        <x:f>IF(I222="оплачен",E222*H222,0)</x:f>
        <x:v>3800</x:v>
      </x:c>
      <x:c r="L222" s="8" t="n">
        <x:f>J222-K222</x:f>
        <x:v>2536</x:v>
      </x:c>
      <x:c r="M222" s="2" t="str">
        <x:f>TEXT(B222,"yyyy-mm")</x:f>
        <x:v>2026-09</x:v>
      </x:c>
      <x:c r="N222" s="2"/>
      <x:c r="O222" s="2"/>
      <x:c r="P222" s="2"/>
    </x:row>
    <x:row r="223" ht="26" customHeight="1">
      <x:c r="A223" s="2" t="str">
        <x:v>O222</x:v>
      </x:c>
      <x:c r="B223" s="7" t="d">
        <x:v>2026-09-26T00:00:00.000Z</x:v>
      </x:c>
      <x:c r="C223" s="2" t="str">
        <x:v>Рюкзак</x:v>
      </x:c>
      <x:c r="D223" s="2" t="str">
        <x:v>Маркетплейс</x:v>
      </x:c>
      <x:c r="E223" s="29" t="n">
        <x:v>1</x:v>
      </x:c>
      <x:c r="F223" s="8" t="n">
        <x:v>3600</x:v>
      </x:c>
      <x:c r="G223" s="8" t="n">
        <x:v>432</x:v>
      </x:c>
      <x:c r="H223" s="8" t="n">
        <x:v>1900</x:v>
      </x:c>
      <x:c r="I223" s="2" t="str">
        <x:v>возвращён</x:v>
      </x:c>
      <x:c r="J223" s="8" t="n">
        <x:f>IF(I223="оплачен",E223*F223-G223,0)</x:f>
        <x:v>0</x:v>
      </x:c>
      <x:c r="K223" s="8" t="n">
        <x:f>IF(I223="оплачен",E223*H223,0)</x:f>
        <x:v>0</x:v>
      </x:c>
      <x:c r="L223" s="8" t="n">
        <x:f>J223-K223</x:f>
        <x:v>0</x:v>
      </x:c>
      <x:c r="M223" s="2" t="str">
        <x:f>TEXT(B223,"yyyy-mm")</x:f>
        <x:v>2026-09</x:v>
      </x:c>
      <x:c r="N223" s="2"/>
      <x:c r="O223" s="2"/>
      <x:c r="P223" s="2"/>
    </x:row>
    <x:row r="224" ht="26" customHeight="1">
      <x:c r="A224" s="2" t="str">
        <x:v>O223</x:v>
      </x:c>
      <x:c r="B224" s="7" t="d">
        <x:v>2026-09-27T00:00:00.000Z</x:v>
      </x:c>
      <x:c r="C224" s="2" t="str">
        <x:v>Планер</x:v>
      </x:c>
      <x:c r="D224" s="2" t="str">
        <x:v>Соцсети</x:v>
      </x:c>
      <x:c r="E224" s="29" t="n">
        <x:v>1</x:v>
      </x:c>
      <x:c r="F224" s="8" t="n">
        <x:v>800</x:v>
      </x:c>
      <x:c r="G224" s="8" t="n">
        <x:v>24</x:v>
      </x:c>
      <x:c r="H224" s="8" t="n">
        <x:v>280</x:v>
      </x:c>
      <x:c r="I224" s="2" t="str">
        <x:v>оплачен</x:v>
      </x:c>
      <x:c r="J224" s="8" t="n">
        <x:f>IF(I224="оплачен",E224*F224-G224,0)</x:f>
        <x:v>776</x:v>
      </x:c>
      <x:c r="K224" s="8" t="n">
        <x:f>IF(I224="оплачен",E224*H224,0)</x:f>
        <x:v>280</x:v>
      </x:c>
      <x:c r="L224" s="8" t="n">
        <x:f>J224-K224</x:f>
        <x:v>496</x:v>
      </x:c>
      <x:c r="M224" s="2" t="str">
        <x:f>TEXT(B224,"yyyy-mm")</x:f>
        <x:v>2026-09</x:v>
      </x:c>
      <x:c r="N224" s="2"/>
      <x:c r="O224" s="2"/>
      <x:c r="P224" s="2"/>
    </x:row>
    <x:row r="225" ht="26" customHeight="1">
      <x:c r="A225" s="2" t="str">
        <x:v>O224</x:v>
      </x:c>
      <x:c r="B225" s="7" t="d">
        <x:v>2026-09-28T00:00:00.000Z</x:v>
      </x:c>
      <x:c r="C225" s="2" t="str">
        <x:v>Рюкзак</x:v>
      </x:c>
      <x:c r="D225" s="2" t="str">
        <x:v>Сайт</x:v>
      </x:c>
      <x:c r="E225" s="29" t="n">
        <x:v>3</x:v>
      </x:c>
      <x:c r="F225" s="8" t="n">
        <x:v>3600</x:v>
      </x:c>
      <x:c r="G225" s="8" t="n">
        <x:v>324</x:v>
      </x:c>
      <x:c r="H225" s="8" t="n">
        <x:v>1900</x:v>
      </x:c>
      <x:c r="I225" s="2" t="str">
        <x:v>оплачен</x:v>
      </x:c>
      <x:c r="J225" s="8" t="n">
        <x:f>IF(I225="оплачен",E225*F225-G225,0)</x:f>
        <x:v>10476</x:v>
      </x:c>
      <x:c r="K225" s="8" t="n">
        <x:f>IF(I225="оплачен",E225*H225,0)</x:f>
        <x:v>5700</x:v>
      </x:c>
      <x:c r="L225" s="8" t="n">
        <x:f>J225-K225</x:f>
        <x:v>4776</x:v>
      </x:c>
      <x:c r="M225" s="2" t="str">
        <x:f>TEXT(B225,"yyyy-mm")</x:f>
        <x:v>2026-09</x:v>
      </x:c>
      <x:c r="N225" s="2"/>
      <x:c r="O225" s="2"/>
      <x:c r="P225" s="2"/>
    </x:row>
    <x:row r="226" ht="26" customHeight="1">
      <x:c r="A226" s="2" t="str">
        <x:v>O225</x:v>
      </x:c>
      <x:c r="B226" s="7" t="d">
        <x:v>2026-09-01T00:00:00.000Z</x:v>
      </x:c>
      <x:c r="C226" s="2" t="str">
        <x:v>Рюкзак</x:v>
      </x:c>
      <x:c r="D226" s="2" t="str">
        <x:v>Сайт</x:v>
      </x:c>
      <x:c r="E226" s="29" t="n">
        <x:v>4</x:v>
      </x:c>
      <x:c r="F226" s="8" t="n">
        <x:v>3600</x:v>
      </x:c>
      <x:c r="G226" s="8" t="n">
        <x:v>432</x:v>
      </x:c>
      <x:c r="H226" s="8" t="n">
        <x:v>1900</x:v>
      </x:c>
      <x:c r="I226" s="2" t="str">
        <x:v>оплачен</x:v>
      </x:c>
      <x:c r="J226" s="8" t="n">
        <x:f>IF(I226="оплачен",E226*F226-G226,0)</x:f>
        <x:v>13968</x:v>
      </x:c>
      <x:c r="K226" s="8" t="n">
        <x:f>IF(I226="оплачен",E226*H226,0)</x:f>
        <x:v>7600</x:v>
      </x:c>
      <x:c r="L226" s="8" t="n">
        <x:f>J226-K226</x:f>
        <x:v>6368</x:v>
      </x:c>
      <x:c r="M226" s="2" t="str">
        <x:f>TEXT(B226,"yyyy-mm")</x:f>
        <x:v>2026-09</x:v>
      </x:c>
      <x:c r="N226" s="2"/>
      <x:c r="O226" s="2"/>
      <x:c r="P226" s="2"/>
    </x:row>
    <x:row r="227" ht="26" customHeight="1">
      <x:c r="A227" s="2" t="str">
        <x:v>O226</x:v>
      </x:c>
      <x:c r="B227" s="7" t="d">
        <x:v>2026-09-02T00:00:00.000Z</x:v>
      </x:c>
      <x:c r="C227" s="2" t="str">
        <x:v>Термокружка</x:v>
      </x:c>
      <x:c r="D227" s="2" t="str">
        <x:v>Маркетплейс</x:v>
      </x:c>
      <x:c r="E227" s="29" t="n">
        <x:v>4</x:v>
      </x:c>
      <x:c r="F227" s="8" t="n">
        <x:v>1600</x:v>
      </x:c>
      <x:c r="G227" s="8" t="n">
        <x:v>768</x:v>
      </x:c>
      <x:c r="H227" s="8" t="n">
        <x:v>650</x:v>
      </x:c>
      <x:c r="I227" s="2" t="str">
        <x:v>оплачен</x:v>
      </x:c>
      <x:c r="J227" s="8" t="n">
        <x:f>IF(I227="оплачен",E227*F227-G227,0)</x:f>
        <x:v>5632</x:v>
      </x:c>
      <x:c r="K227" s="8" t="n">
        <x:f>IF(I227="оплачен",E227*H227,0)</x:f>
        <x:v>2600</x:v>
      </x:c>
      <x:c r="L227" s="8" t="n">
        <x:f>J227-K227</x:f>
        <x:v>3032</x:v>
      </x:c>
      <x:c r="M227" s="2" t="str">
        <x:f>TEXT(B227,"yyyy-mm")</x:f>
        <x:v>2026-09</x:v>
      </x:c>
      <x:c r="N227" s="2"/>
      <x:c r="O227" s="2"/>
      <x:c r="P227" s="2"/>
    </x:row>
    <x:row r="228" ht="26" customHeight="1">
      <x:c r="A228" s="2" t="str">
        <x:v>O227</x:v>
      </x:c>
      <x:c r="B228" s="7" t="d">
        <x:v>2026-09-03T00:00:00.000Z</x:v>
      </x:c>
      <x:c r="C228" s="2" t="str">
        <x:v>Термокружка</x:v>
      </x:c>
      <x:c r="D228" s="2" t="str">
        <x:v>Маркетплейс</x:v>
      </x:c>
      <x:c r="E228" s="29" t="n">
        <x:v>4</x:v>
      </x:c>
      <x:c r="F228" s="8" t="n">
        <x:v>1600</x:v>
      </x:c>
      <x:c r="G228" s="8" t="n">
        <x:v>768</x:v>
      </x:c>
      <x:c r="H228" s="8" t="n">
        <x:v>650</x:v>
      </x:c>
      <x:c r="I228" s="2" t="str">
        <x:v>оплачен</x:v>
      </x:c>
      <x:c r="J228" s="8" t="n">
        <x:f>IF(I228="оплачен",E228*F228-G228,0)</x:f>
        <x:v>5632</x:v>
      </x:c>
      <x:c r="K228" s="8" t="n">
        <x:f>IF(I228="оплачен",E228*H228,0)</x:f>
        <x:v>2600</x:v>
      </x:c>
      <x:c r="L228" s="8" t="n">
        <x:f>J228-K228</x:f>
        <x:v>3032</x:v>
      </x:c>
      <x:c r="M228" s="2" t="str">
        <x:f>TEXT(B228,"yyyy-mm")</x:f>
        <x:v>2026-09</x:v>
      </x:c>
      <x:c r="N228" s="2"/>
      <x:c r="O228" s="2"/>
      <x:c r="P228" s="2"/>
    </x:row>
    <x:row r="229" ht="26" customHeight="1">
      <x:c r="A229" s="2" t="str">
        <x:v>O228</x:v>
      </x:c>
      <x:c r="B229" s="7" t="d">
        <x:v>2026-09-04T00:00:00.000Z</x:v>
      </x:c>
      <x:c r="C229" s="2" t="str">
        <x:v>Термокружка</x:v>
      </x:c>
      <x:c r="D229" s="2" t="str">
        <x:v>Соцсети</x:v>
      </x:c>
      <x:c r="E229" s="29" t="n">
        <x:v>2</x:v>
      </x:c>
      <x:c r="F229" s="8" t="n">
        <x:v>1600</x:v>
      </x:c>
      <x:c r="G229" s="8" t="n">
        <x:v>96</x:v>
      </x:c>
      <x:c r="H229" s="8" t="n">
        <x:v>650</x:v>
      </x:c>
      <x:c r="I229" s="2" t="str">
        <x:v>оплачен</x:v>
      </x:c>
      <x:c r="J229" s="8" t="n">
        <x:f>IF(I229="оплачен",E229*F229-G229,0)</x:f>
        <x:v>3104</x:v>
      </x:c>
      <x:c r="K229" s="8" t="n">
        <x:f>IF(I229="оплачен",E229*H229,0)</x:f>
        <x:v>1300</x:v>
      </x:c>
      <x:c r="L229" s="8" t="n">
        <x:f>J229-K229</x:f>
        <x:v>1804</x:v>
      </x:c>
      <x:c r="M229" s="2" t="str">
        <x:f>TEXT(B229,"yyyy-mm")</x:f>
        <x:v>2026-09</x:v>
      </x:c>
      <x:c r="N229" s="2"/>
      <x:c r="O229" s="2"/>
      <x:c r="P229" s="2"/>
    </x:row>
    <x:row r="230" ht="26" customHeight="1">
      <x:c r="A230" s="2" t="str">
        <x:v>O229</x:v>
      </x:c>
      <x:c r="B230" s="7" t="d">
        <x:v>2026-09-05T00:00:00.000Z</x:v>
      </x:c>
      <x:c r="C230" s="2" t="str">
        <x:v>Планер</x:v>
      </x:c>
      <x:c r="D230" s="2" t="str">
        <x:v>Маркетплейс</x:v>
      </x:c>
      <x:c r="E230" s="29" t="n">
        <x:v>3</x:v>
      </x:c>
      <x:c r="F230" s="8" t="n">
        <x:v>800</x:v>
      </x:c>
      <x:c r="G230" s="8" t="n">
        <x:v>288</x:v>
      </x:c>
      <x:c r="H230" s="8" t="n">
        <x:v>280</x:v>
      </x:c>
      <x:c r="I230" s="2" t="str">
        <x:v>оплачен</x:v>
      </x:c>
      <x:c r="J230" s="8" t="n">
        <x:f>IF(I230="оплачен",E230*F230-G230,0)</x:f>
        <x:v>2112</x:v>
      </x:c>
      <x:c r="K230" s="8" t="n">
        <x:f>IF(I230="оплачен",E230*H230,0)</x:f>
        <x:v>840</x:v>
      </x:c>
      <x:c r="L230" s="8" t="n">
        <x:f>J230-K230</x:f>
        <x:v>1272</x:v>
      </x:c>
      <x:c r="M230" s="2" t="str">
        <x:f>TEXT(B230,"yyyy-mm")</x:f>
        <x:v>2026-09</x:v>
      </x:c>
      <x:c r="N230" s="2"/>
      <x:c r="O230" s="2"/>
      <x:c r="P230" s="2"/>
    </x:row>
    <x:row r="231" ht="26" customHeight="1">
      <x:c r="A231" s="2" t="str">
        <x:v>O230</x:v>
      </x:c>
      <x:c r="B231" s="7" t="d">
        <x:v>2026-09-06T00:00:00.000Z</x:v>
      </x:c>
      <x:c r="C231" s="2" t="str">
        <x:v>Термокружка</x:v>
      </x:c>
      <x:c r="D231" s="2" t="str">
        <x:v>Маркетплейс</x:v>
      </x:c>
      <x:c r="E231" s="29" t="n">
        <x:v>3</x:v>
      </x:c>
      <x:c r="F231" s="8" t="n">
        <x:v>1600</x:v>
      </x:c>
      <x:c r="G231" s="8" t="n">
        <x:v>576</x:v>
      </x:c>
      <x:c r="H231" s="8" t="n">
        <x:v>650</x:v>
      </x:c>
      <x:c r="I231" s="2" t="str">
        <x:v>оплачен</x:v>
      </x:c>
      <x:c r="J231" s="8" t="n">
        <x:f>IF(I231="оплачен",E231*F231-G231,0)</x:f>
        <x:v>4224</x:v>
      </x:c>
      <x:c r="K231" s="8" t="n">
        <x:f>IF(I231="оплачен",E231*H231,0)</x:f>
        <x:v>1950</x:v>
      </x:c>
      <x:c r="L231" s="8" t="n">
        <x:f>J231-K231</x:f>
        <x:v>2274</x:v>
      </x:c>
      <x:c r="M231" s="2" t="str">
        <x:f>TEXT(B231,"yyyy-mm")</x:f>
        <x:v>2026-09</x:v>
      </x:c>
      <x:c r="N231" s="2"/>
      <x:c r="O231" s="2"/>
      <x:c r="P231" s="2"/>
    </x:row>
    <x:row r="232" ht="26" customHeight="1">
      <x:c r="A232" s="2" t="str">
        <x:v>O231</x:v>
      </x:c>
      <x:c r="B232" s="7" t="d">
        <x:v>2026-09-07T00:00:00.000Z</x:v>
      </x:c>
      <x:c r="C232" s="2" t="str">
        <x:v>Термокружка</x:v>
      </x:c>
      <x:c r="D232" s="2" t="str">
        <x:v>Соцсети</x:v>
      </x:c>
      <x:c r="E232" s="29" t="n">
        <x:v>1</x:v>
      </x:c>
      <x:c r="F232" s="8" t="n">
        <x:v>1600</x:v>
      </x:c>
      <x:c r="G232" s="8" t="n">
        <x:v>48</x:v>
      </x:c>
      <x:c r="H232" s="8" t="n">
        <x:v>650</x:v>
      </x:c>
      <x:c r="I232" s="2" t="str">
        <x:v>оплачен</x:v>
      </x:c>
      <x:c r="J232" s="8" t="n">
        <x:f>IF(I232="оплачен",E232*F232-G232,0)</x:f>
        <x:v>1552</x:v>
      </x:c>
      <x:c r="K232" s="8" t="n">
        <x:f>IF(I232="оплачен",E232*H232,0)</x:f>
        <x:v>650</x:v>
      </x:c>
      <x:c r="L232" s="8" t="n">
        <x:f>J232-K232</x:f>
        <x:v>902</x:v>
      </x:c>
      <x:c r="M232" s="2" t="str">
        <x:f>TEXT(B232,"yyyy-mm")</x:f>
        <x:v>2026-09</x:v>
      </x:c>
      <x:c r="N232" s="2"/>
      <x:c r="O232" s="2"/>
      <x:c r="P232" s="2"/>
    </x:row>
    <x:row r="233" ht="26" customHeight="1">
      <x:c r="A233" s="2" t="str">
        <x:v>O232</x:v>
      </x:c>
      <x:c r="B233" s="7" t="d">
        <x:v>2026-09-08T00:00:00.000Z</x:v>
      </x:c>
      <x:c r="C233" s="2" t="str">
        <x:v>Рюкзак</x:v>
      </x:c>
      <x:c r="D233" s="2" t="str">
        <x:v>Маркетплейс</x:v>
      </x:c>
      <x:c r="E233" s="29" t="n">
        <x:v>1</x:v>
      </x:c>
      <x:c r="F233" s="8" t="n">
        <x:v>3600</x:v>
      </x:c>
      <x:c r="G233" s="8" t="n">
        <x:v>432</x:v>
      </x:c>
      <x:c r="H233" s="8" t="n">
        <x:v>1900</x:v>
      </x:c>
      <x:c r="I233" s="2" t="str">
        <x:v>оплачен</x:v>
      </x:c>
      <x:c r="J233" s="8" t="n">
        <x:f>IF(I233="оплачен",E233*F233-G233,0)</x:f>
        <x:v>3168</x:v>
      </x:c>
      <x:c r="K233" s="8" t="n">
        <x:f>IF(I233="оплачен",E233*H233,0)</x:f>
        <x:v>1900</x:v>
      </x:c>
      <x:c r="L233" s="8" t="n">
        <x:f>J233-K233</x:f>
        <x:v>1268</x:v>
      </x:c>
      <x:c r="M233" s="2" t="str">
        <x:f>TEXT(B233,"yyyy-mm")</x:f>
        <x:v>2026-09</x:v>
      </x:c>
      <x:c r="N233" s="2"/>
      <x:c r="O233" s="2"/>
      <x:c r="P233" s="2"/>
    </x:row>
    <x:row r="234" ht="26" customHeight="1">
      <x:c r="A234" s="2" t="str">
        <x:v>O233</x:v>
      </x:c>
      <x:c r="B234" s="7" t="d">
        <x:v>2026-09-09T00:00:00.000Z</x:v>
      </x:c>
      <x:c r="C234" s="2" t="str">
        <x:v>Планер</x:v>
      </x:c>
      <x:c r="D234" s="2" t="str">
        <x:v>Сайт</x:v>
      </x:c>
      <x:c r="E234" s="29" t="n">
        <x:v>4</x:v>
      </x:c>
      <x:c r="F234" s="8" t="n">
        <x:v>800</x:v>
      </x:c>
      <x:c r="G234" s="8" t="n">
        <x:v>96</x:v>
      </x:c>
      <x:c r="H234" s="8" t="n">
        <x:v>280</x:v>
      </x:c>
      <x:c r="I234" s="2" t="str">
        <x:v>оплачен</x:v>
      </x:c>
      <x:c r="J234" s="8" t="n">
        <x:f>IF(I234="оплачен",E234*F234-G234,0)</x:f>
        <x:v>3104</x:v>
      </x:c>
      <x:c r="K234" s="8" t="n">
        <x:f>IF(I234="оплачен",E234*H234,0)</x:f>
        <x:v>1120</x:v>
      </x:c>
      <x:c r="L234" s="8" t="n">
        <x:f>J234-K234</x:f>
        <x:v>1984</x:v>
      </x:c>
      <x:c r="M234" s="2" t="str">
        <x:f>TEXT(B234,"yyyy-mm")</x:f>
        <x:v>2026-09</x:v>
      </x:c>
      <x:c r="N234" s="2"/>
      <x:c r="O234" s="2"/>
      <x:c r="P234" s="2"/>
    </x:row>
    <x:row r="235" ht="26" customHeight="1">
      <x:c r="A235" s="2" t="str">
        <x:v>O234</x:v>
      </x:c>
      <x:c r="B235" s="7" t="d">
        <x:v>2026-09-10T00:00:00.000Z</x:v>
      </x:c>
      <x:c r="C235" s="2" t="str">
        <x:v>Планер</x:v>
      </x:c>
      <x:c r="D235" s="2" t="str">
        <x:v>Маркетплейс</x:v>
      </x:c>
      <x:c r="E235" s="29" t="n">
        <x:v>3</x:v>
      </x:c>
      <x:c r="F235" s="8" t="n">
        <x:v>800</x:v>
      </x:c>
      <x:c r="G235" s="8" t="n">
        <x:v>288</x:v>
      </x:c>
      <x:c r="H235" s="8" t="n">
        <x:v>280</x:v>
      </x:c>
      <x:c r="I235" s="2" t="str">
        <x:v>оплачен</x:v>
      </x:c>
      <x:c r="J235" s="8" t="n">
        <x:f>IF(I235="оплачен",E235*F235-G235,0)</x:f>
        <x:v>2112</x:v>
      </x:c>
      <x:c r="K235" s="8" t="n">
        <x:f>IF(I235="оплачен",E235*H235,0)</x:f>
        <x:v>840</x:v>
      </x:c>
      <x:c r="L235" s="8" t="n">
        <x:f>J235-K235</x:f>
        <x:v>1272</x:v>
      </x:c>
      <x:c r="M235" s="2" t="str">
        <x:f>TEXT(B235,"yyyy-mm")</x:f>
        <x:v>2026-09</x:v>
      </x:c>
      <x:c r="N235" s="2"/>
      <x:c r="O235" s="2"/>
      <x:c r="P235" s="2"/>
    </x:row>
    <x:row r="236" ht="26" customHeight="1">
      <x:c r="A236" s="2" t="str">
        <x:v>O235</x:v>
      </x:c>
      <x:c r="B236" s="7" t="d">
        <x:v>2026-09-11T00:00:00.000Z</x:v>
      </x:c>
      <x:c r="C236" s="2" t="str">
        <x:v>Настольная лампа</x:v>
      </x:c>
      <x:c r="D236" s="2" t="str">
        <x:v>Маркетплейс</x:v>
      </x:c>
      <x:c r="E236" s="29" t="n">
        <x:v>2</x:v>
      </x:c>
      <x:c r="F236" s="8" t="n">
        <x:v>2900</x:v>
      </x:c>
      <x:c r="G236" s="8" t="n">
        <x:v>696</x:v>
      </x:c>
      <x:c r="H236" s="8" t="n">
        <x:v>1700</x:v>
      </x:c>
      <x:c r="I236" s="2" t="str">
        <x:v>отменён</x:v>
      </x:c>
      <x:c r="J236" s="8" t="n">
        <x:f>IF(I236="оплачен",E236*F236-G236,0)</x:f>
        <x:v>0</x:v>
      </x:c>
      <x:c r="K236" s="8" t="n">
        <x:f>IF(I236="оплачен",E236*H236,0)</x:f>
        <x:v>0</x:v>
      </x:c>
      <x:c r="L236" s="8" t="n">
        <x:f>J236-K236</x:f>
        <x:v>0</x:v>
      </x:c>
      <x:c r="M236" s="2" t="str">
        <x:f>TEXT(B236,"yyyy-mm")</x:f>
        <x:v>2026-09</x:v>
      </x:c>
      <x:c r="N236" s="2"/>
      <x:c r="O236" s="2"/>
      <x:c r="P236" s="2"/>
    </x:row>
    <x:row r="237" ht="26" customHeight="1">
      <x:c r="A237" s="2" t="str">
        <x:v>O236</x:v>
      </x:c>
      <x:c r="B237" s="7" t="d">
        <x:v>2026-09-12T00:00:00.000Z</x:v>
      </x:c>
      <x:c r="C237" s="2" t="str">
        <x:v>Рюкзак</x:v>
      </x:c>
      <x:c r="D237" s="2" t="str">
        <x:v>Маркетплейс</x:v>
      </x:c>
      <x:c r="E237" s="29" t="n">
        <x:v>1</x:v>
      </x:c>
      <x:c r="F237" s="8" t="n">
        <x:v>3600</x:v>
      </x:c>
      <x:c r="G237" s="8" t="n">
        <x:v>432</x:v>
      </x:c>
      <x:c r="H237" s="8" t="n">
        <x:v>1900</x:v>
      </x:c>
      <x:c r="I237" s="2" t="str">
        <x:v>оплачен</x:v>
      </x:c>
      <x:c r="J237" s="8" t="n">
        <x:f>IF(I237="оплачен",E237*F237-G237,0)</x:f>
        <x:v>3168</x:v>
      </x:c>
      <x:c r="K237" s="8" t="n">
        <x:f>IF(I237="оплачен",E237*H237,0)</x:f>
        <x:v>1900</x:v>
      </x:c>
      <x:c r="L237" s="8" t="n">
        <x:f>J237-K237</x:f>
        <x:v>1268</x:v>
      </x:c>
      <x:c r="M237" s="2" t="str">
        <x:f>TEXT(B237,"yyyy-mm")</x:f>
        <x:v>2026-09</x:v>
      </x:c>
      <x:c r="N237" s="2"/>
      <x:c r="O237" s="2"/>
      <x:c r="P237" s="2"/>
    </x:row>
    <x:row r="238" ht="26" customHeight="1">
      <x:c r="A238" s="2" t="str">
        <x:v>O237</x:v>
      </x:c>
      <x:c r="B238" s="7" t="d">
        <x:v>2026-09-13T00:00:00.000Z</x:v>
      </x:c>
      <x:c r="C238" s="2" t="str">
        <x:v>Настольная лампа</x:v>
      </x:c>
      <x:c r="D238" s="2" t="str">
        <x:v>Соцсети</x:v>
      </x:c>
      <x:c r="E238" s="29" t="n">
        <x:v>1</x:v>
      </x:c>
      <x:c r="F238" s="8" t="n">
        <x:v>2900</x:v>
      </x:c>
      <x:c r="G238" s="8" t="n">
        <x:v>87</x:v>
      </x:c>
      <x:c r="H238" s="8" t="n">
        <x:v>1700</x:v>
      </x:c>
      <x:c r="I238" s="2" t="str">
        <x:v>оплачен</x:v>
      </x:c>
      <x:c r="J238" s="8" t="n">
        <x:f>IF(I238="оплачен",E238*F238-G238,0)</x:f>
        <x:v>2813</x:v>
      </x:c>
      <x:c r="K238" s="8" t="n">
        <x:f>IF(I238="оплачен",E238*H238,0)</x:f>
        <x:v>1700</x:v>
      </x:c>
      <x:c r="L238" s="8" t="n">
        <x:f>J238-K238</x:f>
        <x:v>1113</x:v>
      </x:c>
      <x:c r="M238" s="2" t="str">
        <x:f>TEXT(B238,"yyyy-mm")</x:f>
        <x:v>2026-09</x:v>
      </x:c>
      <x:c r="N238" s="2"/>
      <x:c r="O238" s="2"/>
      <x:c r="P238" s="2"/>
    </x:row>
    <x:row r="239" ht="26" customHeight="1">
      <x:c r="A239" s="2" t="str">
        <x:v>O238</x:v>
      </x:c>
      <x:c r="B239" s="7" t="d">
        <x:v>2026-09-14T00:00:00.000Z</x:v>
      </x:c>
      <x:c r="C239" s="2" t="str">
        <x:v>Рюкзак</x:v>
      </x:c>
      <x:c r="D239" s="2" t="str">
        <x:v>Маркетплейс</x:v>
      </x:c>
      <x:c r="E239" s="29" t="n">
        <x:v>4</x:v>
      </x:c>
      <x:c r="F239" s="8" t="n">
        <x:v>3600</x:v>
      </x:c>
      <x:c r="G239" s="8" t="n">
        <x:v>1728</x:v>
      </x:c>
      <x:c r="H239" s="8" t="n">
        <x:v>1900</x:v>
      </x:c>
      <x:c r="I239" s="2" t="str">
        <x:v>оплачен</x:v>
      </x:c>
      <x:c r="J239" s="8" t="n">
        <x:f>IF(I239="оплачен",E239*F239-G239,0)</x:f>
        <x:v>12672</x:v>
      </x:c>
      <x:c r="K239" s="8" t="n">
        <x:f>IF(I239="оплачен",E239*H239,0)</x:f>
        <x:v>7600</x:v>
      </x:c>
      <x:c r="L239" s="8" t="n">
        <x:f>J239-K239</x:f>
        <x:v>5072</x:v>
      </x:c>
      <x:c r="M239" s="2" t="str">
        <x:f>TEXT(B239,"yyyy-mm")</x:f>
        <x:v>2026-09</x:v>
      </x:c>
      <x:c r="N239" s="2"/>
      <x:c r="O239" s="2"/>
      <x:c r="P239" s="2"/>
    </x:row>
    <x:row r="240" ht="26" customHeight="1">
      <x:c r="A240" s="2" t="str">
        <x:v>O239</x:v>
      </x:c>
      <x:c r="B240" s="7" t="d">
        <x:v>2026-09-15T00:00:00.000Z</x:v>
      </x:c>
      <x:c r="C240" s="2" t="str">
        <x:v>Планер</x:v>
      </x:c>
      <x:c r="D240" s="2" t="str">
        <x:v>Соцсети</x:v>
      </x:c>
      <x:c r="E240" s="29" t="n">
        <x:v>2</x:v>
      </x:c>
      <x:c r="F240" s="8" t="n">
        <x:v>800</x:v>
      </x:c>
      <x:c r="G240" s="8" t="n">
        <x:v>48</x:v>
      </x:c>
      <x:c r="H240" s="8" t="n">
        <x:v>280</x:v>
      </x:c>
      <x:c r="I240" s="2" t="str">
        <x:v>возвращён</x:v>
      </x:c>
      <x:c r="J240" s="8" t="n">
        <x:f>IF(I240="оплачен",E240*F240-G240,0)</x:f>
        <x:v>0</x:v>
      </x:c>
      <x:c r="K240" s="8" t="n">
        <x:f>IF(I240="оплачен",E240*H240,0)</x:f>
        <x:v>0</x:v>
      </x:c>
      <x:c r="L240" s="8" t="n">
        <x:f>J240-K240</x:f>
        <x:v>0</x:v>
      </x:c>
      <x:c r="M240" s="2" t="str">
        <x:f>TEXT(B240,"yyyy-mm")</x:f>
        <x:v>2026-09</x:v>
      </x:c>
      <x:c r="N240" s="2"/>
      <x:c r="O240" s="2"/>
      <x:c r="P240" s="2"/>
    </x:row>
    <x:row r="241" ht="26" customHeight="1">
      <x:c r="A241" s="2" t="str">
        <x:v>O240</x:v>
      </x:c>
      <x:c r="B241" s="7" t="d">
        <x:v>2026-09-16T00:00:00.000Z</x:v>
      </x:c>
      <x:c r="C241" s="2" t="str">
        <x:v>Термокружка</x:v>
      </x:c>
      <x:c r="D241" s="2" t="str">
        <x:v>Маркетплейс</x:v>
      </x:c>
      <x:c r="E241" s="29" t="n">
        <x:v>1</x:v>
      </x:c>
      <x:c r="F241" s="8" t="n">
        <x:v>1600</x:v>
      </x:c>
      <x:c r="G241" s="8" t="n">
        <x:v>192</x:v>
      </x:c>
      <x:c r="H241" s="8" t="n">
        <x:v>650</x:v>
      </x:c>
      <x:c r="I241" s="2" t="str">
        <x:v>оплачен</x:v>
      </x:c>
      <x:c r="J241" s="8" t="n">
        <x:f>IF(I241="оплачен",E241*F241-G241,0)</x:f>
        <x:v>1408</x:v>
      </x:c>
      <x:c r="K241" s="8" t="n">
        <x:f>IF(I241="оплачен",E241*H241,0)</x:f>
        <x:v>650</x:v>
      </x:c>
      <x:c r="L241" s="8" t="n">
        <x:f>J241-K241</x:f>
        <x:v>758</x:v>
      </x:c>
      <x:c r="M241" s="2" t="str">
        <x:f>TEXT(B241,"yyyy-mm")</x:f>
        <x:v>2026-09</x:v>
      </x:c>
      <x:c r="N241" s="2"/>
      <x:c r="O241" s="2"/>
      <x:c r="P241" s="2"/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Pr>
    <x:tabColor rgb="FFFF6B00"/>
  </x:sheetPr>
  <x:sheetViews>
    <x:sheetView showGridLines="0" workbookViewId="0"/>
  </x:sheetViews>
  <x:sheetFormatPr defaultRowHeight="15"/>
  <x:cols>
    <x:col min="1" max="1" width="60" hidden="0" customWidth="1"/>
    <x:col min="2" max="2" width="24" hidden="0" customWidth="1"/>
    <x:col min="3" max="3" width="24" hidden="0" customWidth="1"/>
  </x:cols>
  <x:sheetData>
    <x:row r="1" ht="34" customHeight="1">
      <x:c r="A1" s="6" t="str">
        <x:v>Рабочий дашборд магазина</x:v>
      </x:c>
    </x:row>
    <x:row r="2" ht="26" customHeight="1">
      <x:c r="A2" s="2" t="str">
        <x:v>Создайте здесь показатели, фильтры и диаграммы по листу 09_Заказы.</x:v>
      </x:c>
    </x:row>
  </x:sheetData>
  <x:pageMargins left="0.7" right="0.7" top="0.75" bottom="0.75" header="0.3" footer="0.3"/>
</x:worksheet>
</file>