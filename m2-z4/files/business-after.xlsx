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45ad3fb6c4d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дель" sheetId="1" r:id="Rfedc27afe0f943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;(#,##0);&quot;—&quot;"/>
    <x:numFmt numFmtId="201" formatCode="0.0%"/>
    <x:numFmt numFmtId="202" formatCode="0%"/>
    <x:numFmt numFmtId="203" formatCode="dd.mm.yyyy"/>
    <x:numFmt numFmtId="204" formatCode="#,##0;(#,##0)"/>
  </x:numFmts>
  <x:fonts count="10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19212B"/>
      <x:name val="Arial"/>
    </x:font>
    <x:font>
      <x:sz val="11"/>
      <x:color rgb="FF19212B"/>
      <x:name val="Arial"/>
    </x:font>
    <x:font>
      <x:b/>
      <x:sz val="16"/>
      <x:color rgb="FF19212B"/>
      <x:name val="Arial"/>
    </x:font>
    <x:font>
      <x:sz val="10"/>
      <x:color rgb="FF19212B"/>
      <x:name val="Arial"/>
    </x:font>
    <x:font>
      <x:sz val="10"/>
      <x:color rgb="FF687684"/>
      <x:name val="Arial"/>
    </x:font>
    <x:font>
      <x:sz val="11"/>
      <x:color rgb="FF1556A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212B"/>
      </x:patternFill>
    </x:fill>
    <x:fill>
      <x:patternFill patternType="solid">
        <x:fgColor rgb="FFFFFFFF"/>
      </x:patternFill>
    </x:fill>
    <x:fill>
      <x:patternFill patternType="solid">
        <x:fgColor rgb="FFFFF0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204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7415a3a2d84242" /><Relationship Type="http://schemas.openxmlformats.org/officeDocument/2006/relationships/theme" Target="/xl/theme/theme1.xml" Id="R6b066356741948e5" /><Relationship Type="http://schemas.openxmlformats.org/officeDocument/2006/relationships/sharedStrings" Target="/xl/sharedStrings.xml" Id="R84a1eccc264a4a94" /><Relationship Type="http://schemas.openxmlformats.org/officeDocument/2006/relationships/worksheet" Target="/xl/worksheets/sheet1.xml" Id="Rfedc27afe0f943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38" hidden="0" customWidth="1"/>
    <x:col min="4" max="4" width="19" hidden="0" customWidth="1"/>
    <x:col min="5" max="5" width="22" hidden="0" customWidth="1"/>
    <x:col min="6" max="6" width="20" hidden="0" customWidth="1"/>
    <x:col min="7" max="7" width="24" hidden="0" customWidth="1"/>
    <x:col min="8" max="8" width="15" hidden="0" customWidth="1"/>
  </x:cols>
  <x:sheetData>
    <x:row r="1" ht="34" customHeight="1">
      <x:c r="A1" s="11" t="str">
        <x:v>Денежная модель малого бизнеса</x:v>
      </x:c>
      <x:c r="B1" s="9"/>
      <x:c r="C1" s="9"/>
      <x:c r="D1" s="9"/>
      <x:c r="E1" s="9"/>
      <x:c r="F1" s="9"/>
      <x:c r="G1" s="9"/>
      <x:c r="H1" s="9"/>
    </x:row>
    <x:row r="2" ht="26" customHeight="1">
      <x:c r="A2" s="13" t="str">
        <x:v>Поступления и выплаты по операциям; без налогов и начального остатка</x:v>
      </x:c>
      <x:c r="B2" s="10"/>
      <x:c r="C2" s="10"/>
      <x:c r="D2" s="10"/>
      <x:c r="E2" s="10"/>
      <x:c r="F2" s="10"/>
      <x:c r="G2" s="10"/>
      <x:c r="H2" s="10"/>
    </x:row>
    <x:row r="3" ht="26" customHeight="1">
      <x:c r="A3" s="5" t="str">
        <x:v>Показатель</x:v>
      </x:c>
      <x:c r="B3" s="5" t="str">
        <x:v>2026-07</x:v>
      </x:c>
      <x:c r="C3" s="5" t="str">
        <x:v>2026-08</x:v>
      </x:c>
      <x:c r="D3" s="5" t="str">
        <x:v>2026-09</x:v>
      </x:c>
      <x:c r="E3" s="5" t="str">
        <x:v>Итого</x:v>
      </x:c>
      <x:c r="F3" s="10"/>
      <x:c r="G3" s="10"/>
      <x:c r="H3" s="10"/>
    </x:row>
    <x:row r="4" ht="26" customHeight="1">
      <x:c r="A4" s="10" t="str">
        <x:v>Оплаты клиентов</x:v>
      </x:c>
      <x:c r="B4" s="17" t="n">
        <x:f>SUMIFS($D$22:$D$99,$G$22:$G$99,"Оплата клиента",$H$22:$H$99,B$3)</x:f>
        <x:v>87000</x:v>
      </x:c>
      <x:c r="C4" s="17" t="n">
        <x:f>SUMIFS($D$22:$D$99,$G$22:$G$99,"Оплата клиента",$H$22:$H$99,C$3)</x:f>
        <x:v>99000</x:v>
      </x:c>
      <x:c r="D4" s="17" t="n">
        <x:f>SUMIFS($D$22:$D$99,$G$22:$G$99,"Оплата клиента",$H$22:$H$99,D$3)</x:f>
        <x:v>111000</x:v>
      </x:c>
      <x:c r="E4" s="17" t="n">
        <x:f>SUM(B4:D4)</x:f>
        <x:v>297000</x:v>
      </x:c>
      <x:c r="F4" s="10"/>
      <x:c r="G4" s="10"/>
      <x:c r="H4" s="10"/>
    </x:row>
    <x:row r="5" ht="26" customHeight="1">
      <x:c r="A5" s="10" t="str">
        <x:v>Возвраты клиентам</x:v>
      </x:c>
      <x:c r="B5" s="17" t="n">
        <x:f>-SUMIFS($D$22:$D$99,$G$22:$G$99,"Возврат клиенту",$H$22:$H$99,B$3)</x:f>
        <x:v>4000</x:v>
      </x:c>
      <x:c r="C5" s="17" t="n">
        <x:f>-SUMIFS($D$22:$D$99,$G$22:$G$99,"Возврат клиенту",$H$22:$H$99,C$3)</x:f>
        <x:v>4400</x:v>
      </x:c>
      <x:c r="D5" s="17" t="n">
        <x:f>-SUMIFS($D$22:$D$99,$G$22:$G$99,"Возврат клиенту",$H$22:$H$99,D$3)</x:f>
        <x:v>4800</x:v>
      </x:c>
      <x:c r="E5" s="17" t="n">
        <x:f>SUM(B5:D5)</x:f>
        <x:v>13200</x:v>
      </x:c>
      <x:c r="F5" s="10"/>
      <x:c r="G5" s="10"/>
      <x:c r="H5" s="10"/>
    </x:row>
    <x:row r="6" ht="26" customHeight="1">
      <x:c r="A6" s="16" t="str">
        <x:v>Чистые поступления</x:v>
      </x:c>
      <x:c r="B6" s="18" t="n">
        <x:f>B4-B5</x:f>
        <x:v>83000</x:v>
      </x:c>
      <x:c r="C6" s="18" t="n">
        <x:f>C4-C5</x:f>
        <x:v>94600</x:v>
      </x:c>
      <x:c r="D6" s="18" t="n">
        <x:f>D4-D5</x:f>
        <x:v>106200</x:v>
      </x:c>
      <x:c r="E6" s="18" t="n">
        <x:f>SUM(B6:D6)</x:f>
        <x:v>283800</x:v>
      </x:c>
      <x:c r="F6" s="10"/>
      <x:c r="G6" s="10"/>
      <x:c r="H6" s="10"/>
    </x:row>
    <x:row r="7" ht="26" customHeight="1">
      <x:c r="A7" s="10" t="str">
        <x:v>Подрядчики</x:v>
      </x:c>
      <x:c r="B7" s="17" t="n">
        <x:f>-SUMIFS($D$22:$D$99,$G$22:$G$99,"Подрядчики",$H$22:$H$99,B$3)</x:f>
        <x:v>10900</x:v>
      </x:c>
      <x:c r="C7" s="17" t="n">
        <x:f>-SUMIFS($D$22:$D$99,$G$22:$G$99,"Подрядчики",$H$22:$H$99,C$3)</x:f>
        <x:v>11500</x:v>
      </x:c>
      <x:c r="D7" s="17" t="n">
        <x:f>-SUMIFS($D$22:$D$99,$G$22:$G$99,"Подрядчики",$H$22:$H$99,D$3)</x:f>
        <x:v>12100</x:v>
      </x:c>
      <x:c r="E7" s="17" t="n">
        <x:f>SUM(B7:D7)</x:f>
        <x:v>34500</x:v>
      </x:c>
      <x:c r="F7" s="10"/>
      <x:c r="G7" s="10"/>
      <x:c r="H7" s="10"/>
    </x:row>
    <x:row r="8" ht="26" customHeight="1">
      <x:c r="A8" s="10" t="str">
        <x:v>Реклама</x:v>
      </x:c>
      <x:c r="B8" s="17" t="n">
        <x:f>-SUMIFS($D$22:$D$99,$G$22:$G$99,"Реклама",$H$22:$H$99,B$3)</x:f>
        <x:v>11250</x:v>
      </x:c>
      <x:c r="C8" s="17" t="n">
        <x:f>-SUMIFS($D$22:$D$99,$G$22:$G$99,"Реклама",$H$22:$H$99,C$3)</x:f>
        <x:v>12750</x:v>
      </x:c>
      <x:c r="D8" s="17" t="n">
        <x:f>-SUMIFS($D$22:$D$99,$G$22:$G$99,"Реклама",$H$22:$H$99,D$3)</x:f>
        <x:v>14250</x:v>
      </x:c>
      <x:c r="E8" s="17" t="n">
        <x:f>SUM(B8:D8)</x:f>
        <x:v>38250</x:v>
      </x:c>
      <x:c r="F8" s="10"/>
      <x:c r="G8" s="10"/>
      <x:c r="H8" s="10"/>
    </x:row>
    <x:row r="9" ht="26" customHeight="1">
      <x:c r="A9" s="10" t="str">
        <x:v>Сервисы</x:v>
      </x:c>
      <x:c r="B9" s="17" t="n">
        <x:f>-SUMIFS($D$22:$D$99,$G$22:$G$99,"Сервисы",$H$22:$H$99,B$3)</x:f>
        <x:v>2200</x:v>
      </x:c>
      <x:c r="C9" s="17" t="n">
        <x:f>-SUMIFS($D$22:$D$99,$G$22:$G$99,"Сервисы",$H$22:$H$99,C$3)</x:f>
        <x:v>2200</x:v>
      </x:c>
      <x:c r="D9" s="17" t="n">
        <x:f>-SUMIFS($D$22:$D$99,$G$22:$G$99,"Сервисы",$H$22:$H$99,D$3)</x:f>
        <x:v>2200</x:v>
      </x:c>
      <x:c r="E9" s="17" t="n">
        <x:f>SUM(B9:D9)</x:f>
        <x:v>6600</x:v>
      </x:c>
      <x:c r="F9" s="10"/>
      <x:c r="G9" s="10"/>
      <x:c r="H9" s="10"/>
    </x:row>
    <x:row r="10" ht="26" customHeight="1">
      <x:c r="A10" s="16" t="str">
        <x:v>Денежный результат</x:v>
      </x:c>
      <x:c r="B10" s="18" t="n">
        <x:f>B6-SUM(B7:B9)</x:f>
        <x:v>58650</x:v>
      </x:c>
      <x:c r="C10" s="18" t="n">
        <x:f>C6-SUM(C7:C9)</x:f>
        <x:v>68150</x:v>
      </x:c>
      <x:c r="D10" s="18" t="n">
        <x:f>D6-SUM(D7:D9)</x:f>
        <x:v>77650</x:v>
      </x:c>
      <x:c r="E10" s="18" t="n">
        <x:f>SUM(B10:D10)</x:f>
        <x:v>204450</x:v>
      </x:c>
      <x:c r="F10" s="10"/>
      <x:c r="G10" s="10"/>
      <x:c r="H10" s="10"/>
    </x:row>
    <x:row r="11" ht="26" customHeight="1">
      <x:c r="A11" s="10" t="str">
        <x:v>Доля результата</x:v>
      </x:c>
      <x:c r="B11" s="19" t="n">
        <x:f>IF(B6=0,"нет данных",B10/B6)</x:f>
        <x:v>0.7066265060240964</x:v>
      </x:c>
      <x:c r="C11" s="19" t="n">
        <x:f>IF(C6=0,"нет данных",C10/C6)</x:f>
        <x:v>0.7204016913319239</x:v>
      </x:c>
      <x:c r="D11" s="19" t="n">
        <x:f>IF(D6=0,"нет данных",D10/D6)</x:f>
        <x:v>0.7311676082862524</x:v>
      </x:c>
      <x:c r="E11" s="19" t="n">
        <x:f>IF(E6=0,"нет данных",E10/E6)</x:f>
        <x:v>0.7204016913319239</x:v>
      </x:c>
      <x:c r="F11" s="10"/>
      <x:c r="G11" s="10"/>
      <x:c r="H11" s="10"/>
    </x:row>
    <x:row r="12" ht="26" customHeight="1">
      <x:c r="A12" s="10" t="str">
        <x:v>Расходы на уточнении</x:v>
      </x:c>
      <x:c r="B12" s="17" t="n">
        <x:f>-SUMIFS($D$22:$D$99,$G$22:$G$99,"Нужно уточнить",$H$22:$H$99,B$3)</x:f>
        <x:v>1700</x:v>
      </x:c>
      <x:c r="C12" s="17" t="n">
        <x:f>-SUMIFS($D$22:$D$99,$G$22:$G$99,"Нужно уточнить",$H$22:$H$99,C$3)</x:f>
        <x:v>1700</x:v>
      </x:c>
      <x:c r="D12" s="17" t="n">
        <x:f>-SUMIFS($D$22:$D$99,$G$22:$G$99,"Нужно уточнить",$H$22:$H$99,D$3)</x:f>
        <x:v>1700</x:v>
      </x:c>
      <x:c r="E12" s="17" t="n">
        <x:f>SUM(B12:D12)</x:f>
        <x:v>5100</x:v>
      </x:c>
      <x:c r="F12" s="10"/>
      <x:c r="G12" s="10"/>
      <x:c r="H12" s="10"/>
    </x:row>
    <x:row r="13" ht="26" customHeight="1">
      <x:c r="A13" s="10" t="str">
        <x:v>Переводы себе</x:v>
      </x:c>
      <x:c r="B13" s="17" t="n">
        <x:f>-SUMIFS($D$22:$D$99,$G$22:$G$99,"Перевод себе",$H$22:$H$99,B$3)</x:f>
        <x:v>12000</x:v>
      </x:c>
      <x:c r="C13" s="17" t="n">
        <x:f>-SUMIFS($D$22:$D$99,$G$22:$G$99,"Перевод себе",$H$22:$H$99,C$3)</x:f>
        <x:v>12000</x:v>
      </x:c>
      <x:c r="D13" s="17" t="n">
        <x:f>-SUMIFS($D$22:$D$99,$G$22:$G$99,"Перевод себе",$H$22:$H$99,D$3)</x:f>
        <x:v>12000</x:v>
      </x:c>
      <x:c r="E13" s="17" t="n">
        <x:f>SUM(B13:D13)</x:f>
        <x:v>36000</x:v>
      </x:c>
      <x:c r="F13" s="10"/>
      <x:c r="G13" s="10"/>
      <x:c r="H13" s="10"/>
    </x:row>
    <x:row r="14" ht="26" customHeight="1">
      <x:c r="A14" s="10" t="str">
        <x:v>Взносы владельца</x:v>
      </x:c>
      <x:c r="B14" s="17" t="n">
        <x:f>SUMIFS($D$22:$D$99,$G$22:$G$99,"Взнос владельца",$H$22:$H$99,B$3)</x:f>
        <x:v>20000</x:v>
      </x:c>
      <x:c r="C14" s="17" t="n">
        <x:f>SUMIFS($D$22:$D$99,$G$22:$G$99,"Взнос владельца",$H$22:$H$99,C$3)</x:f>
        <x:v>20000</x:v>
      </x:c>
      <x:c r="D14" s="17" t="n">
        <x:f>SUMIFS($D$22:$D$99,$G$22:$G$99,"Взнос владельца",$H$22:$H$99,D$3)</x:f>
        <x:v>20000</x:v>
      </x:c>
      <x:c r="E14" s="17" t="n">
        <x:f>SUM(B14:D14)</x:f>
        <x:v>60000</x:v>
      </x:c>
      <x:c r="F14" s="10"/>
      <x:c r="G14" s="10"/>
      <x:c r="H14" s="10"/>
    </x:row>
    <x:row r="15" ht="26" customHeight="1">
      <x:c r="A15" s="10"/>
      <x:c r="B15" s="17"/>
      <x:c r="C15" s="17"/>
      <x:c r="D15" s="17"/>
      <x:c r="E15" s="17"/>
      <x:c r="F15" s="10"/>
      <x:c r="G15" s="10"/>
      <x:c r="H15" s="10"/>
    </x:row>
    <x:row r="16" ht="26" customHeight="1">
      <x:c r="A16" s="10" t="str">
        <x:v>Сокращение рекламы</x:v>
      </x:c>
      <x:c r="B16" s="22" t="n">
        <x:v>0.2</x:v>
      </x:c>
      <x:c r="C16" s="17"/>
      <x:c r="D16" s="17"/>
      <x:c r="E16" s="17"/>
      <x:c r="F16" s="10"/>
      <x:c r="G16" s="10"/>
      <x:c r="H16" s="10"/>
    </x:row>
    <x:row r="17" ht="26" customHeight="1">
      <x:c r="A17" s="10" t="str">
        <x:v>Экономия по условию</x:v>
      </x:c>
      <x:c r="B17" s="17" t="n">
        <x:f>B8*$B$16</x:f>
        <x:v>2250</x:v>
      </x:c>
      <x:c r="C17" s="17" t="n">
        <x:f>C8*$B$16</x:f>
        <x:v>2550</x:v>
      </x:c>
      <x:c r="D17" s="17" t="n">
        <x:f>D8*$B$16</x:f>
        <x:v>2850</x:v>
      </x:c>
      <x:c r="E17" s="17" t="n">
        <x:f>SUM(B17:D17)</x:f>
        <x:v>7650</x:v>
      </x:c>
      <x:c r="F17" s="10"/>
      <x:c r="G17" s="10"/>
      <x:c r="H17" s="10"/>
    </x:row>
    <x:row r="18" ht="26" customHeight="1">
      <x:c r="A18" s="16" t="str">
        <x:v>Результат по сценарию</x:v>
      </x:c>
      <x:c r="B18" s="18" t="n">
        <x:f>B10+B17</x:f>
        <x:v>60900</x:v>
      </x:c>
      <x:c r="C18" s="18" t="n">
        <x:f>C10+C17</x:f>
        <x:v>70700</x:v>
      </x:c>
      <x:c r="D18" s="18" t="n">
        <x:f>D10+D17</x:f>
        <x:v>80500</x:v>
      </x:c>
      <x:c r="E18" s="18" t="n">
        <x:f>SUM(B18:D18)</x:f>
        <x:v>212100</x:v>
      </x:c>
      <x:c r="F18" s="10"/>
      <x:c r="G18" s="10"/>
      <x:c r="H18" s="10"/>
    </x:row>
    <x:row r="19" ht="26" customHeight="1">
      <x:c r="A19" s="10"/>
      <x:c r="B19" s="10"/>
      <x:c r="C19" s="10"/>
      <x:c r="D19" s="10"/>
      <x:c r="E19" s="10"/>
      <x:c r="F19" s="10"/>
      <x:c r="G19" s="10"/>
      <x:c r="H19" s="10"/>
    </x:row>
    <x:row r="20" ht="26" customHeight="1">
      <x:c r="A20" s="10" t="str">
        <x:v>Операции: исходные A:F сохранены; G — статья, H — месяц</x:v>
      </x:c>
      <x:c r="B20" s="10"/>
      <x:c r="C20" s="10"/>
      <x:c r="D20" s="10"/>
      <x:c r="E20" s="10"/>
      <x:c r="F20" s="10"/>
      <x:c r="G20" s="10"/>
      <x:c r="H20" s="10"/>
    </x:row>
    <x:row r="21" ht="26" customHeight="1">
      <x:c r="A21" s="5" t="str">
        <x:v>ID</x:v>
      </x:c>
      <x:c r="B21" s="5" t="str">
        <x:v>Дата</x:v>
      </x:c>
      <x:c r="C21" s="5" t="str">
        <x:v>Назначение</x:v>
      </x:c>
      <x:c r="D21" s="5" t="str">
        <x:v>Сумма_руб</x:v>
      </x:c>
      <x:c r="E21" s="5" t="str">
        <x:v>Контрагент</x:v>
      </x:c>
      <x:c r="F21" s="5" t="str">
        <x:v>Канал</x:v>
      </x:c>
      <x:c r="G21" s="5" t="str">
        <x:v>Статья</x:v>
      </x:c>
      <x:c r="H21" s="5" t="str">
        <x:v>Месяц</x:v>
      </x:c>
    </x:row>
    <x:row r="22" ht="26" customHeight="1">
      <x:c r="A22" s="10" t="str">
        <x:v>B001</x:v>
      </x:c>
      <x:c r="B22" s="23" t="d">
        <x:v>2026-07-01T00:00:00.000Z</x:v>
      </x:c>
      <x:c r="C22" s="10" t="str">
        <x:v>Оплата консультации, заказ 700</x:v>
      </x:c>
      <x:c r="D22" s="24" t="n">
        <x:v>5000</x:v>
      </x:c>
      <x:c r="E22" s="10" t="str">
        <x:v>Клиент 01</x:v>
      </x:c>
      <x:c r="F22" s="10" t="str">
        <x:v>Сайт</x:v>
      </x:c>
      <x:c r="G22" s="10" t="str">
        <x:v>Оплата клиента</x:v>
      </x:c>
      <x:c r="H22" s="10" t="str">
        <x:f>TEXT(B22,"yyyy-mm")</x:f>
        <x:v>2026-07</x:v>
      </x:c>
    </x:row>
    <x:row r="23" ht="26" customHeight="1">
      <x:c r="A23" s="10" t="str">
        <x:v>B002</x:v>
      </x:c>
      <x:c r="B23" s="23" t="d">
        <x:v>2026-07-02T00:00:00.000Z</x:v>
      </x:c>
      <x:c r="C23" s="10" t="str">
        <x:v>Оплата консультации, заказ 701</x:v>
      </x:c>
      <x:c r="D23" s="24" t="n">
        <x:v>6500</x:v>
      </x:c>
      <x:c r="E23" s="10" t="str">
        <x:v>Клиент 02</x:v>
      </x:c>
      <x:c r="F23" s="10" t="str">
        <x:v>Рекомендации</x:v>
      </x:c>
      <x:c r="G23" s="10" t="str">
        <x:v>Оплата клиента</x:v>
      </x:c>
      <x:c r="H23" s="10" t="str">
        <x:f>TEXT(B23,"yyyy-mm")</x:f>
        <x:v>2026-07</x:v>
      </x:c>
    </x:row>
    <x:row r="24" ht="26" customHeight="1">
      <x:c r="A24" s="10" t="str">
        <x:v>B003</x:v>
      </x:c>
      <x:c r="B24" s="23" t="d">
        <x:v>2026-07-03T00:00:00.000Z</x:v>
      </x:c>
      <x:c r="C24" s="10" t="str">
        <x:v>Оплата консультации, заказ 702</x:v>
      </x:c>
      <x:c r="D24" s="24" t="n">
        <x:v>8000</x:v>
      </x:c>
      <x:c r="E24" s="10" t="str">
        <x:v>Клиент 03</x:v>
      </x:c>
      <x:c r="F24" s="10" t="str">
        <x:v>Соцсети</x:v>
      </x:c>
      <x:c r="G24" s="10" t="str">
        <x:v>Оплата клиента</x:v>
      </x:c>
      <x:c r="H24" s="10" t="str">
        <x:f>TEXT(B24,"yyyy-mm")</x:f>
        <x:v>2026-07</x:v>
      </x:c>
    </x:row>
    <x:row r="25" ht="26" customHeight="1">
      <x:c r="A25" s="10" t="str">
        <x:v>B004</x:v>
      </x:c>
      <x:c r="B25" s="23" t="d">
        <x:v>2026-07-04T00:00:00.000Z</x:v>
      </x:c>
      <x:c r="C25" s="10" t="str">
        <x:v>Оплата консультации, заказ 703</x:v>
      </x:c>
      <x:c r="D25" s="24" t="n">
        <x:v>9500</x:v>
      </x:c>
      <x:c r="E25" s="10" t="str">
        <x:v>Клиент 04</x:v>
      </x:c>
      <x:c r="F25" s="10" t="str">
        <x:v>Сайт</x:v>
      </x:c>
      <x:c r="G25" s="10" t="str">
        <x:v>Оплата клиента</x:v>
      </x:c>
      <x:c r="H25" s="10" t="str">
        <x:f>TEXT(B25,"yyyy-mm")</x:f>
        <x:v>2026-07</x:v>
      </x:c>
    </x:row>
    <x:row r="26" ht="26" customHeight="1">
      <x:c r="A26" s="10" t="str">
        <x:v>B005</x:v>
      </x:c>
      <x:c r="B26" s="23" t="d">
        <x:v>2026-07-05T00:00:00.000Z</x:v>
      </x:c>
      <x:c r="C26" s="10" t="str">
        <x:v>Оплата консультации, заказ 704</x:v>
      </x:c>
      <x:c r="D26" s="24" t="n">
        <x:v>5000</x:v>
      </x:c>
      <x:c r="E26" s="10" t="str">
        <x:v>Клиент 05</x:v>
      </x:c>
      <x:c r="F26" s="10" t="str">
        <x:v>Рекомендации</x:v>
      </x:c>
      <x:c r="G26" s="10" t="str">
        <x:v>Оплата клиента</x:v>
      </x:c>
      <x:c r="H26" s="10" t="str">
        <x:f>TEXT(B26,"yyyy-mm")</x:f>
        <x:v>2026-07</x:v>
      </x:c>
    </x:row>
    <x:row r="27" ht="26" customHeight="1">
      <x:c r="A27" s="10" t="str">
        <x:v>B006</x:v>
      </x:c>
      <x:c r="B27" s="23" t="d">
        <x:v>2026-07-06T00:00:00.000Z</x:v>
      </x:c>
      <x:c r="C27" s="10" t="str">
        <x:v>Оплата консультации, заказ 705</x:v>
      </x:c>
      <x:c r="D27" s="24" t="n">
        <x:v>6500</x:v>
      </x:c>
      <x:c r="E27" s="10" t="str">
        <x:v>Клиент 06</x:v>
      </x:c>
      <x:c r="F27" s="10" t="str">
        <x:v>Соцсети</x:v>
      </x:c>
      <x:c r="G27" s="10" t="str">
        <x:v>Оплата клиента</x:v>
      </x:c>
      <x:c r="H27" s="10" t="str">
        <x:f>TEXT(B27,"yyyy-mm")</x:f>
        <x:v>2026-07</x:v>
      </x:c>
    </x:row>
    <x:row r="28" ht="26" customHeight="1">
      <x:c r="A28" s="10" t="str">
        <x:v>B007</x:v>
      </x:c>
      <x:c r="B28" s="23" t="d">
        <x:v>2026-07-07T00:00:00.000Z</x:v>
      </x:c>
      <x:c r="C28" s="10" t="str">
        <x:v>Оплата консультации, заказ 706</x:v>
      </x:c>
      <x:c r="D28" s="24" t="n">
        <x:v>8000</x:v>
      </x:c>
      <x:c r="E28" s="10" t="str">
        <x:v>Клиент 07</x:v>
      </x:c>
      <x:c r="F28" s="10" t="str">
        <x:v>Сайт</x:v>
      </x:c>
      <x:c r="G28" s="10" t="str">
        <x:v>Оплата клиента</x:v>
      </x:c>
      <x:c r="H28" s="10" t="str">
        <x:f>TEXT(B28,"yyyy-mm")</x:f>
        <x:v>2026-07</x:v>
      </x:c>
    </x:row>
    <x:row r="29" ht="26" customHeight="1">
      <x:c r="A29" s="10" t="str">
        <x:v>B008</x:v>
      </x:c>
      <x:c r="B29" s="23" t="d">
        <x:v>2026-07-08T00:00:00.000Z</x:v>
      </x:c>
      <x:c r="C29" s="10" t="str">
        <x:v>Оплата консультации, заказ 707</x:v>
      </x:c>
      <x:c r="D29" s="24" t="n">
        <x:v>9500</x:v>
      </x:c>
      <x:c r="E29" s="10" t="str">
        <x:v>Клиент 08</x:v>
      </x:c>
      <x:c r="F29" s="10" t="str">
        <x:v>Рекомендации</x:v>
      </x:c>
      <x:c r="G29" s="10" t="str">
        <x:v>Оплата клиента</x:v>
      </x:c>
      <x:c r="H29" s="10" t="str">
        <x:f>TEXT(B29,"yyyy-mm")</x:f>
        <x:v>2026-07</x:v>
      </x:c>
    </x:row>
    <x:row r="30" ht="26" customHeight="1">
      <x:c r="A30" s="10" t="str">
        <x:v>B009</x:v>
      </x:c>
      <x:c r="B30" s="23" t="d">
        <x:v>2026-07-09T00:00:00.000Z</x:v>
      </x:c>
      <x:c r="C30" s="10" t="str">
        <x:v>Оплата консультации, заказ 708</x:v>
      </x:c>
      <x:c r="D30" s="24" t="n">
        <x:v>5000</x:v>
      </x:c>
      <x:c r="E30" s="10" t="str">
        <x:v>Клиент 09</x:v>
      </x:c>
      <x:c r="F30" s="10" t="str">
        <x:v>Соцсети</x:v>
      </x:c>
      <x:c r="G30" s="10" t="str">
        <x:v>Оплата клиента</x:v>
      </x:c>
      <x:c r="H30" s="10" t="str">
        <x:f>TEXT(B30,"yyyy-mm")</x:f>
        <x:v>2026-07</x:v>
      </x:c>
    </x:row>
    <x:row r="31" ht="26" customHeight="1">
      <x:c r="A31" s="10" t="str">
        <x:v>B010</x:v>
      </x:c>
      <x:c r="B31" s="23" t="d">
        <x:v>2026-07-10T00:00:00.000Z</x:v>
      </x:c>
      <x:c r="C31" s="10" t="str">
        <x:v>Оплата консультации, заказ 709</x:v>
      </x:c>
      <x:c r="D31" s="24" t="n">
        <x:v>6500</x:v>
      </x:c>
      <x:c r="E31" s="10" t="str">
        <x:v>Клиент 10</x:v>
      </x:c>
      <x:c r="F31" s="10" t="str">
        <x:v>Сайт</x:v>
      </x:c>
      <x:c r="G31" s="10" t="str">
        <x:v>Оплата клиента</x:v>
      </x:c>
      <x:c r="H31" s="10" t="str">
        <x:f>TEXT(B31,"yyyy-mm")</x:f>
        <x:v>2026-07</x:v>
      </x:c>
    </x:row>
    <x:row r="32" ht="26" customHeight="1">
      <x:c r="A32" s="10" t="str">
        <x:v>B011</x:v>
      </x:c>
      <x:c r="B32" s="23" t="d">
        <x:v>2026-07-11T00:00:00.000Z</x:v>
      </x:c>
      <x:c r="C32" s="10" t="str">
        <x:v>Оплата консультации, заказ 710</x:v>
      </x:c>
      <x:c r="D32" s="24" t="n">
        <x:v>8000</x:v>
      </x:c>
      <x:c r="E32" s="10" t="str">
        <x:v>Клиент 11</x:v>
      </x:c>
      <x:c r="F32" s="10" t="str">
        <x:v>Рекомендации</x:v>
      </x:c>
      <x:c r="G32" s="10" t="str">
        <x:v>Оплата клиента</x:v>
      </x:c>
      <x:c r="H32" s="10" t="str">
        <x:f>TEXT(B32,"yyyy-mm")</x:f>
        <x:v>2026-07</x:v>
      </x:c>
    </x:row>
    <x:row r="33" ht="26" customHeight="1">
      <x:c r="A33" s="10" t="str">
        <x:v>B012</x:v>
      </x:c>
      <x:c r="B33" s="23" t="d">
        <x:v>2026-07-12T00:00:00.000Z</x:v>
      </x:c>
      <x:c r="C33" s="10" t="str">
        <x:v>Оплата консультации, заказ 711</x:v>
      </x:c>
      <x:c r="D33" s="24" t="n">
        <x:v>9500</x:v>
      </x:c>
      <x:c r="E33" s="10" t="str">
        <x:v>Клиент 12</x:v>
      </x:c>
      <x:c r="F33" s="10" t="str">
        <x:v>Соцсети</x:v>
      </x:c>
      <x:c r="G33" s="10" t="str">
        <x:v>Оплата клиента</x:v>
      </x:c>
      <x:c r="H33" s="10" t="str">
        <x:f>TEXT(B33,"yyyy-mm")</x:f>
        <x:v>2026-07</x:v>
      </x:c>
    </x:row>
    <x:row r="34" ht="26" customHeight="1">
      <x:c r="A34" s="10" t="str">
        <x:v>B013</x:v>
      </x:c>
      <x:c r="B34" s="23" t="d">
        <x:v>2026-07-13T00:00:00.000Z</x:v>
      </x:c>
      <x:c r="C34" s="10" t="str">
        <x:v>Возврат клиенту по заказу 700</x:v>
      </x:c>
      <x:c r="D34" s="24" t="n">
        <x:v>-1800</x:v>
      </x:c>
      <x:c r="E34" s="10" t="str">
        <x:v>Клиент 01</x:v>
      </x:c>
      <x:c r="F34" s="10" t="str">
        <x:v>Сайт</x:v>
      </x:c>
      <x:c r="G34" s="10" t="str">
        <x:v>Возврат клиенту</x:v>
      </x:c>
      <x:c r="H34" s="10" t="str">
        <x:f>TEXT(B34,"yyyy-mm")</x:f>
        <x:v>2026-07</x:v>
      </x:c>
    </x:row>
    <x:row r="35" ht="26" customHeight="1">
      <x:c r="A35" s="10" t="str">
        <x:v>B014</x:v>
      </x:c>
      <x:c r="B35" s="23" t="d">
        <x:v>2026-07-14T00:00:00.000Z</x:v>
      </x:c>
      <x:c r="C35" s="10" t="str">
        <x:v>Возврат клиенту по заказу 701</x:v>
      </x:c>
      <x:c r="D35" s="24" t="n">
        <x:v>-2200</x:v>
      </x:c>
      <x:c r="E35" s="10" t="str">
        <x:v>Клиент 02</x:v>
      </x:c>
      <x:c r="F35" s="10" t="str">
        <x:v>Сайт</x:v>
      </x:c>
      <x:c r="G35" s="10" t="str">
        <x:v>Возврат клиенту</x:v>
      </x:c>
      <x:c r="H35" s="10" t="str">
        <x:f>TEXT(B35,"yyyy-mm")</x:f>
        <x:v>2026-07</x:v>
      </x:c>
    </x:row>
    <x:row r="36" ht="26" customHeight="1">
      <x:c r="A36" s="10" t="str">
        <x:v>B015</x:v>
      </x:c>
      <x:c r="B36" s="23" t="d">
        <x:v>2026-07-15T00:00:00.000Z</x:v>
      </x:c>
      <x:c r="C36" s="10" t="str">
        <x:v>Оплата подрядчику за подготовку материалов 1</x:v>
      </x:c>
      <x:c r="D36" s="24" t="n">
        <x:v>-2200</x:v>
      </x:c>
      <x:c r="E36" s="10" t="str">
        <x:v>Подрядчик 1</x:v>
      </x:c>
      <x:c r="F36" s="10" t="str">
        <x:v>Банк</x:v>
      </x:c>
      <x:c r="G36" s="10" t="str">
        <x:v>Подрядчики</x:v>
      </x:c>
      <x:c r="H36" s="10" t="str">
        <x:f>TEXT(B36,"yyyy-mm")</x:f>
        <x:v>2026-07</x:v>
      </x:c>
    </x:row>
    <x:row r="37" ht="26" customHeight="1">
      <x:c r="A37" s="10" t="str">
        <x:v>B016</x:v>
      </x:c>
      <x:c r="B37" s="23" t="d">
        <x:v>2026-07-16T00:00:00.000Z</x:v>
      </x:c>
      <x:c r="C37" s="10" t="str">
        <x:v>Оплата подрядчику за подготовку материалов 2</x:v>
      </x:c>
      <x:c r="D37" s="24" t="n">
        <x:v>-2550</x:v>
      </x:c>
      <x:c r="E37" s="10" t="str">
        <x:v>Подрядчик 2</x:v>
      </x:c>
      <x:c r="F37" s="10" t="str">
        <x:v>Банк</x:v>
      </x:c>
      <x:c r="G37" s="10" t="str">
        <x:v>Подрядчики</x:v>
      </x:c>
      <x:c r="H37" s="10" t="str">
        <x:f>TEXT(B37,"yyyy-mm")</x:f>
        <x:v>2026-07</x:v>
      </x:c>
    </x:row>
    <x:row r="38" ht="26" customHeight="1">
      <x:c r="A38" s="10" t="str">
        <x:v>B017</x:v>
      </x:c>
      <x:c r="B38" s="23" t="d">
        <x:v>2026-07-17T00:00:00.000Z</x:v>
      </x:c>
      <x:c r="C38" s="10" t="str">
        <x:v>Оплата подрядчику за подготовку материалов 3</x:v>
      </x:c>
      <x:c r="D38" s="24" t="n">
        <x:v>-2900</x:v>
      </x:c>
      <x:c r="E38" s="10" t="str">
        <x:v>Подрядчик 3</x:v>
      </x:c>
      <x:c r="F38" s="10" t="str">
        <x:v>Банк</x:v>
      </x:c>
      <x:c r="G38" s="10" t="str">
        <x:v>Подрядчики</x:v>
      </x:c>
      <x:c r="H38" s="10" t="str">
        <x:f>TEXT(B38,"yyyy-mm")</x:f>
        <x:v>2026-07</x:v>
      </x:c>
    </x:row>
    <x:row r="39" ht="26" customHeight="1">
      <x:c r="A39" s="10" t="str">
        <x:v>B018</x:v>
      </x:c>
      <x:c r="B39" s="23" t="d">
        <x:v>2026-07-18T00:00:00.000Z</x:v>
      </x:c>
      <x:c r="C39" s="10" t="str">
        <x:v>Оплата подрядчику за подготовку материалов 4</x:v>
      </x:c>
      <x:c r="D39" s="24" t="n">
        <x:v>-3250</x:v>
      </x:c>
      <x:c r="E39" s="10" t="str">
        <x:v>Подрядчик 4</x:v>
      </x:c>
      <x:c r="F39" s="10" t="str">
        <x:v>Банк</x:v>
      </x:c>
      <x:c r="G39" s="10" t="str">
        <x:v>Подрядчики</x:v>
      </x:c>
      <x:c r="H39" s="10" t="str">
        <x:f>TEXT(B39,"yyyy-mm")</x:f>
        <x:v>2026-07</x:v>
      </x:c>
    </x:row>
    <x:row r="40" ht="26" customHeight="1">
      <x:c r="A40" s="10" t="str">
        <x:v>B019</x:v>
      </x:c>
      <x:c r="B40" s="23" t="d">
        <x:v>2026-07-19T00:00:00.000Z</x:v>
      </x:c>
      <x:c r="C40" s="10" t="str">
        <x:v>Рекламная кампания 1</x:v>
      </x:c>
      <x:c r="D40" s="24" t="n">
        <x:v>-3500</x:v>
      </x:c>
      <x:c r="E40" s="10" t="str">
        <x:v>Рекламная площадка</x:v>
      </x:c>
      <x:c r="F40" s="10" t="str">
        <x:v>Банк</x:v>
      </x:c>
      <x:c r="G40" s="10" t="str">
        <x:v>Реклама</x:v>
      </x:c>
      <x:c r="H40" s="10" t="str">
        <x:f>TEXT(B40,"yyyy-mm")</x:f>
        <x:v>2026-07</x:v>
      </x:c>
    </x:row>
    <x:row r="41" ht="26" customHeight="1">
      <x:c r="A41" s="10" t="str">
        <x:v>B020</x:v>
      </x:c>
      <x:c r="B41" s="23" t="d">
        <x:v>2026-07-20T00:00:00.000Z</x:v>
      </x:c>
      <x:c r="C41" s="10" t="str">
        <x:v>Рекламная кампания 2</x:v>
      </x:c>
      <x:c r="D41" s="24" t="n">
        <x:v>-3750</x:v>
      </x:c>
      <x:c r="E41" s="10" t="str">
        <x:v>Рекламная площадка</x:v>
      </x:c>
      <x:c r="F41" s="10" t="str">
        <x:v>Банк</x:v>
      </x:c>
      <x:c r="G41" s="10" t="str">
        <x:v>Реклама</x:v>
      </x:c>
      <x:c r="H41" s="10" t="str">
        <x:f>TEXT(B41,"yyyy-mm")</x:f>
        <x:v>2026-07</x:v>
      </x:c>
    </x:row>
    <x:row r="42" ht="26" customHeight="1">
      <x:c r="A42" s="10" t="str">
        <x:v>B021</x:v>
      </x:c>
      <x:c r="B42" s="23" t="d">
        <x:v>2026-07-21T00:00:00.000Z</x:v>
      </x:c>
      <x:c r="C42" s="10" t="str">
        <x:v>Рекламная кампания 3</x:v>
      </x:c>
      <x:c r="D42" s="24" t="n">
        <x:v>-4000</x:v>
      </x:c>
      <x:c r="E42" s="10" t="str">
        <x:v>Рекламная площадка</x:v>
      </x:c>
      <x:c r="F42" s="10" t="str">
        <x:v>Банк</x:v>
      </x:c>
      <x:c r="G42" s="10" t="str">
        <x:v>Реклама</x:v>
      </x:c>
      <x:c r="H42" s="10" t="str">
        <x:f>TEXT(B42,"yyyy-mm")</x:f>
        <x:v>2026-07</x:v>
      </x:c>
    </x:row>
    <x:row r="43" ht="26" customHeight="1">
      <x:c r="A43" s="10" t="str">
        <x:v>B022</x:v>
      </x:c>
      <x:c r="B43" s="23" t="d">
        <x:v>2026-07-22T00:00:00.000Z</x:v>
      </x:c>
      <x:c r="C43" s="10" t="str">
        <x:v>Подписка на рабочий сервис 1</x:v>
      </x:c>
      <x:c r="D43" s="24" t="n">
        <x:v>-900</x:v>
      </x:c>
      <x:c r="E43" s="10" t="str">
        <x:v>Рабочий сервис</x:v>
      </x:c>
      <x:c r="F43" s="10" t="str">
        <x:v>Карта</x:v>
      </x:c>
      <x:c r="G43" s="10" t="str">
        <x:v>Сервисы</x:v>
      </x:c>
      <x:c r="H43" s="10" t="str">
        <x:f>TEXT(B43,"yyyy-mm")</x:f>
        <x:v>2026-07</x:v>
      </x:c>
    </x:row>
    <x:row r="44" ht="26" customHeight="1">
      <x:c r="A44" s="10" t="str">
        <x:v>B023</x:v>
      </x:c>
      <x:c r="B44" s="23" t="d">
        <x:v>2026-07-23T00:00:00.000Z</x:v>
      </x:c>
      <x:c r="C44" s="10" t="str">
        <x:v>Подписка на рабочий сервис 2</x:v>
      </x:c>
      <x:c r="D44" s="24" t="n">
        <x:v>-1300</x:v>
      </x:c>
      <x:c r="E44" s="10" t="str">
        <x:v>Рабочий сервис</x:v>
      </x:c>
      <x:c r="F44" s="10" t="str">
        <x:v>Карта</x:v>
      </x:c>
      <x:c r="G44" s="10" t="str">
        <x:v>Сервисы</x:v>
      </x:c>
      <x:c r="H44" s="10" t="str">
        <x:f>TEXT(B44,"yyyy-mm")</x:f>
        <x:v>2026-07</x:v>
      </x:c>
    </x:row>
    <x:row r="45" ht="26" customHeight="1">
      <x:c r="A45" s="10" t="str">
        <x:v>B024</x:v>
      </x:c>
      <x:c r="B45" s="23" t="d">
        <x:v>2026-07-24T00:00:00.000Z</x:v>
      </x:c>
      <x:c r="C45" s="10" t="str">
        <x:v>Перевод на свой личный счёт</x:v>
      </x:c>
      <x:c r="D45" s="24" t="n">
        <x:v>-12000</x:v>
      </x:c>
      <x:c r="E45" s="10" t="str">
        <x:v>Собственный счёт</x:v>
      </x:c>
      <x:c r="F45" s="10" t="str">
        <x:v>Банк</x:v>
      </x:c>
      <x:c r="G45" s="10" t="str">
        <x:v>Перевод себе</x:v>
      </x:c>
      <x:c r="H45" s="10" t="str">
        <x:f>TEXT(B45,"yyyy-mm")</x:f>
        <x:v>2026-07</x:v>
      </x:c>
    </x:row>
    <x:row r="46" ht="26" customHeight="1">
      <x:c r="A46" s="10" t="str">
        <x:v>B025</x:v>
      </x:c>
      <x:c r="B46" s="23" t="d">
        <x:v>2026-07-25T00:00:00.000Z</x:v>
      </x:c>
      <x:c r="C46" s="10" t="str">
        <x:v>Пополнение от владельца</x:v>
      </x:c>
      <x:c r="D46" s="24" t="n">
        <x:v>20000</x:v>
      </x:c>
      <x:c r="E46" s="10" t="str">
        <x:v>Владелец</x:v>
      </x:c>
      <x:c r="F46" s="10" t="str">
        <x:v>Банк</x:v>
      </x:c>
      <x:c r="G46" s="10" t="str">
        <x:v>Взнос владельца</x:v>
      </x:c>
      <x:c r="H46" s="10" t="str">
        <x:f>TEXT(B46,"yyyy-mm")</x:f>
        <x:v>2026-07</x:v>
      </x:c>
    </x:row>
    <x:row r="47" ht="26" customHeight="1">
      <x:c r="A47" s="10" t="str">
        <x:v>B026</x:v>
      </x:c>
      <x:c r="B47" s="23" t="d">
        <x:v>2026-07-26T00:00:00.000Z</x:v>
      </x:c>
      <x:c r="C47" s="10" t="str">
        <x:v>Оплата по реквизитам без назначения</x:v>
      </x:c>
      <x:c r="D47" s="24" t="n">
        <x:v>-1700</x:v>
      </x:c>
      <x:c r="E47" s="10" t="str">
        <x:v>Контрагент не указан</x:v>
      </x:c>
      <x:c r="F47" s="10" t="str">
        <x:v>Банк</x:v>
      </x:c>
      <x:c r="G47" s="10" t="str">
        <x:v>Нужно уточнить</x:v>
      </x:c>
      <x:c r="H47" s="10" t="str">
        <x:f>TEXT(B47,"yyyy-mm")</x:f>
        <x:v>2026-07</x:v>
      </x:c>
    </x:row>
    <x:row r="48" ht="26" customHeight="1">
      <x:c r="A48" s="10" t="str">
        <x:v>B027</x:v>
      </x:c>
      <x:c r="B48" s="23" t="d">
        <x:v>2026-08-01T00:00:00.000Z</x:v>
      </x:c>
      <x:c r="C48" s="10" t="str">
        <x:v>Оплата консультации, заказ 800</x:v>
      </x:c>
      <x:c r="D48" s="24" t="n">
        <x:v>6000</x:v>
      </x:c>
      <x:c r="E48" s="10" t="str">
        <x:v>Клиент 01</x:v>
      </x:c>
      <x:c r="F48" s="10" t="str">
        <x:v>Сайт</x:v>
      </x:c>
      <x:c r="G48" s="10" t="str">
        <x:v>Оплата клиента</x:v>
      </x:c>
      <x:c r="H48" s="10" t="str">
        <x:f>TEXT(B48,"yyyy-mm")</x:f>
        <x:v>2026-08</x:v>
      </x:c>
    </x:row>
    <x:row r="49" ht="26" customHeight="1">
      <x:c r="A49" s="10" t="str">
        <x:v>B028</x:v>
      </x:c>
      <x:c r="B49" s="23" t="d">
        <x:v>2026-08-02T00:00:00.000Z</x:v>
      </x:c>
      <x:c r="C49" s="10" t="str">
        <x:v>Оплата консультации, заказ 801</x:v>
      </x:c>
      <x:c r="D49" s="24" t="n">
        <x:v>7500</x:v>
      </x:c>
      <x:c r="E49" s="10" t="str">
        <x:v>Клиент 02</x:v>
      </x:c>
      <x:c r="F49" s="10" t="str">
        <x:v>Рекомендации</x:v>
      </x:c>
      <x:c r="G49" s="10" t="str">
        <x:v>Оплата клиента</x:v>
      </x:c>
      <x:c r="H49" s="10" t="str">
        <x:f>TEXT(B49,"yyyy-mm")</x:f>
        <x:v>2026-08</x:v>
      </x:c>
    </x:row>
    <x:row r="50" ht="26" customHeight="1">
      <x:c r="A50" s="10" t="str">
        <x:v>B029</x:v>
      </x:c>
      <x:c r="B50" s="23" t="d">
        <x:v>2026-08-03T00:00:00.000Z</x:v>
      </x:c>
      <x:c r="C50" s="10" t="str">
        <x:v>Оплата консультации, заказ 802</x:v>
      </x:c>
      <x:c r="D50" s="24" t="n">
        <x:v>9000</x:v>
      </x:c>
      <x:c r="E50" s="10" t="str">
        <x:v>Клиент 03</x:v>
      </x:c>
      <x:c r="F50" s="10" t="str">
        <x:v>Соцсети</x:v>
      </x:c>
      <x:c r="G50" s="10" t="str">
        <x:v>Оплата клиента</x:v>
      </x:c>
      <x:c r="H50" s="10" t="str">
        <x:f>TEXT(B50,"yyyy-mm")</x:f>
        <x:v>2026-08</x:v>
      </x:c>
    </x:row>
    <x:row r="51" ht="26" customHeight="1">
      <x:c r="A51" s="10" t="str">
        <x:v>B030</x:v>
      </x:c>
      <x:c r="B51" s="23" t="d">
        <x:v>2026-08-04T00:00:00.000Z</x:v>
      </x:c>
      <x:c r="C51" s="10" t="str">
        <x:v>Оплата консультации, заказ 803</x:v>
      </x:c>
      <x:c r="D51" s="24" t="n">
        <x:v>10500</x:v>
      </x:c>
      <x:c r="E51" s="10" t="str">
        <x:v>Клиент 04</x:v>
      </x:c>
      <x:c r="F51" s="10" t="str">
        <x:v>Сайт</x:v>
      </x:c>
      <x:c r="G51" s="10" t="str">
        <x:v>Оплата клиента</x:v>
      </x:c>
      <x:c r="H51" s="10" t="str">
        <x:f>TEXT(B51,"yyyy-mm")</x:f>
        <x:v>2026-08</x:v>
      </x:c>
    </x:row>
    <x:row r="52" ht="26" customHeight="1">
      <x:c r="A52" s="10" t="str">
        <x:v>B031</x:v>
      </x:c>
      <x:c r="B52" s="23" t="d">
        <x:v>2026-08-05T00:00:00.000Z</x:v>
      </x:c>
      <x:c r="C52" s="10" t="str">
        <x:v>Оплата консультации, заказ 804</x:v>
      </x:c>
      <x:c r="D52" s="24" t="n">
        <x:v>6000</x:v>
      </x:c>
      <x:c r="E52" s="10" t="str">
        <x:v>Клиент 05</x:v>
      </x:c>
      <x:c r="F52" s="10" t="str">
        <x:v>Рекомендации</x:v>
      </x:c>
      <x:c r="G52" s="10" t="str">
        <x:v>Оплата клиента</x:v>
      </x:c>
      <x:c r="H52" s="10" t="str">
        <x:f>TEXT(B52,"yyyy-mm")</x:f>
        <x:v>2026-08</x:v>
      </x:c>
    </x:row>
    <x:row r="53" ht="26" customHeight="1">
      <x:c r="A53" s="10" t="str">
        <x:v>B032</x:v>
      </x:c>
      <x:c r="B53" s="23" t="d">
        <x:v>2026-08-06T00:00:00.000Z</x:v>
      </x:c>
      <x:c r="C53" s="10" t="str">
        <x:v>Оплата консультации, заказ 805</x:v>
      </x:c>
      <x:c r="D53" s="24" t="n">
        <x:v>7500</x:v>
      </x:c>
      <x:c r="E53" s="10" t="str">
        <x:v>Клиент 06</x:v>
      </x:c>
      <x:c r="F53" s="10" t="str">
        <x:v>Соцсети</x:v>
      </x:c>
      <x:c r="G53" s="10" t="str">
        <x:v>Оплата клиента</x:v>
      </x:c>
      <x:c r="H53" s="10" t="str">
        <x:f>TEXT(B53,"yyyy-mm")</x:f>
        <x:v>2026-08</x:v>
      </x:c>
    </x:row>
    <x:row r="54" ht="26" customHeight="1">
      <x:c r="A54" s="10" t="str">
        <x:v>B033</x:v>
      </x:c>
      <x:c r="B54" s="23" t="d">
        <x:v>2026-08-07T00:00:00.000Z</x:v>
      </x:c>
      <x:c r="C54" s="10" t="str">
        <x:v>Оплата консультации, заказ 806</x:v>
      </x:c>
      <x:c r="D54" s="24" t="n">
        <x:v>9000</x:v>
      </x:c>
      <x:c r="E54" s="10" t="str">
        <x:v>Клиент 07</x:v>
      </x:c>
      <x:c r="F54" s="10" t="str">
        <x:v>Сайт</x:v>
      </x:c>
      <x:c r="G54" s="10" t="str">
        <x:v>Оплата клиента</x:v>
      </x:c>
      <x:c r="H54" s="10" t="str">
        <x:f>TEXT(B54,"yyyy-mm")</x:f>
        <x:v>2026-08</x:v>
      </x:c>
    </x:row>
    <x:row r="55" ht="26" customHeight="1">
      <x:c r="A55" s="10" t="str">
        <x:v>B034</x:v>
      </x:c>
      <x:c r="B55" s="23" t="d">
        <x:v>2026-08-08T00:00:00.000Z</x:v>
      </x:c>
      <x:c r="C55" s="10" t="str">
        <x:v>Оплата консультации, заказ 807</x:v>
      </x:c>
      <x:c r="D55" s="24" t="n">
        <x:v>10500</x:v>
      </x:c>
      <x:c r="E55" s="10" t="str">
        <x:v>Клиент 08</x:v>
      </x:c>
      <x:c r="F55" s="10" t="str">
        <x:v>Рекомендации</x:v>
      </x:c>
      <x:c r="G55" s="10" t="str">
        <x:v>Оплата клиента</x:v>
      </x:c>
      <x:c r="H55" s="10" t="str">
        <x:f>TEXT(B55,"yyyy-mm")</x:f>
        <x:v>2026-08</x:v>
      </x:c>
    </x:row>
    <x:row r="56" ht="26" customHeight="1">
      <x:c r="A56" s="10" t="str">
        <x:v>B035</x:v>
      </x:c>
      <x:c r="B56" s="23" t="d">
        <x:v>2026-08-09T00:00:00.000Z</x:v>
      </x:c>
      <x:c r="C56" s="10" t="str">
        <x:v>Оплата консультации, заказ 808</x:v>
      </x:c>
      <x:c r="D56" s="24" t="n">
        <x:v>6000</x:v>
      </x:c>
      <x:c r="E56" s="10" t="str">
        <x:v>Клиент 09</x:v>
      </x:c>
      <x:c r="F56" s="10" t="str">
        <x:v>Соцсети</x:v>
      </x:c>
      <x:c r="G56" s="10" t="str">
        <x:v>Оплата клиента</x:v>
      </x:c>
      <x:c r="H56" s="10" t="str">
        <x:f>TEXT(B56,"yyyy-mm")</x:f>
        <x:v>2026-08</x:v>
      </x:c>
    </x:row>
    <x:row r="57" ht="26" customHeight="1">
      <x:c r="A57" s="10" t="str">
        <x:v>B036</x:v>
      </x:c>
      <x:c r="B57" s="23" t="d">
        <x:v>2026-08-10T00:00:00.000Z</x:v>
      </x:c>
      <x:c r="C57" s="10" t="str">
        <x:v>Оплата консультации, заказ 809</x:v>
      </x:c>
      <x:c r="D57" s="24" t="n">
        <x:v>7500</x:v>
      </x:c>
      <x:c r="E57" s="10" t="str">
        <x:v>Клиент 10</x:v>
      </x:c>
      <x:c r="F57" s="10" t="str">
        <x:v>Сайт</x:v>
      </x:c>
      <x:c r="G57" s="10" t="str">
        <x:v>Оплата клиента</x:v>
      </x:c>
      <x:c r="H57" s="10" t="str">
        <x:f>TEXT(B57,"yyyy-mm")</x:f>
        <x:v>2026-08</x:v>
      </x:c>
    </x:row>
    <x:row r="58" ht="26" customHeight="1">
      <x:c r="A58" s="10" t="str">
        <x:v>B037</x:v>
      </x:c>
      <x:c r="B58" s="23" t="d">
        <x:v>2026-08-11T00:00:00.000Z</x:v>
      </x:c>
      <x:c r="C58" s="10" t="str">
        <x:v>Оплата консультации, заказ 810</x:v>
      </x:c>
      <x:c r="D58" s="24" t="n">
        <x:v>9000</x:v>
      </x:c>
      <x:c r="E58" s="10" t="str">
        <x:v>Клиент 11</x:v>
      </x:c>
      <x:c r="F58" s="10" t="str">
        <x:v>Рекомендации</x:v>
      </x:c>
      <x:c r="G58" s="10" t="str">
        <x:v>Оплата клиента</x:v>
      </x:c>
      <x:c r="H58" s="10" t="str">
        <x:f>TEXT(B58,"yyyy-mm")</x:f>
        <x:v>2026-08</x:v>
      </x:c>
    </x:row>
    <x:row r="59" ht="26" customHeight="1">
      <x:c r="A59" s="10" t="str">
        <x:v>B038</x:v>
      </x:c>
      <x:c r="B59" s="23" t="d">
        <x:v>2026-08-12T00:00:00.000Z</x:v>
      </x:c>
      <x:c r="C59" s="10" t="str">
        <x:v>Оплата консультации, заказ 811</x:v>
      </x:c>
      <x:c r="D59" s="24" t="n">
        <x:v>10500</x:v>
      </x:c>
      <x:c r="E59" s="10" t="str">
        <x:v>Клиент 12</x:v>
      </x:c>
      <x:c r="F59" s="10" t="str">
        <x:v>Соцсети</x:v>
      </x:c>
      <x:c r="G59" s="10" t="str">
        <x:v>Оплата клиента</x:v>
      </x:c>
      <x:c r="H59" s="10" t="str">
        <x:f>TEXT(B59,"yyyy-mm")</x:f>
        <x:v>2026-08</x:v>
      </x:c>
    </x:row>
    <x:row r="60" ht="26" customHeight="1">
      <x:c r="A60" s="10" t="str">
        <x:v>B039</x:v>
      </x:c>
      <x:c r="B60" s="23" t="d">
        <x:v>2026-08-13T00:00:00.000Z</x:v>
      </x:c>
      <x:c r="C60" s="10" t="str">
        <x:v>Возврат клиенту по заказу 800</x:v>
      </x:c>
      <x:c r="D60" s="24" t="n">
        <x:v>-2000</x:v>
      </x:c>
      <x:c r="E60" s="10" t="str">
        <x:v>Клиент 01</x:v>
      </x:c>
      <x:c r="F60" s="10" t="str">
        <x:v>Сайт</x:v>
      </x:c>
      <x:c r="G60" s="10" t="str">
        <x:v>Возврат клиенту</x:v>
      </x:c>
      <x:c r="H60" s="10" t="str">
        <x:f>TEXT(B60,"yyyy-mm")</x:f>
        <x:v>2026-08</x:v>
      </x:c>
    </x:row>
    <x:row r="61" ht="26" customHeight="1">
      <x:c r="A61" s="10" t="str">
        <x:v>B040</x:v>
      </x:c>
      <x:c r="B61" s="23" t="d">
        <x:v>2026-08-14T00:00:00.000Z</x:v>
      </x:c>
      <x:c r="C61" s="10" t="str">
        <x:v>Возврат клиенту по заказу 801</x:v>
      </x:c>
      <x:c r="D61" s="24" t="n">
        <x:v>-2400</x:v>
      </x:c>
      <x:c r="E61" s="10" t="str">
        <x:v>Клиент 02</x:v>
      </x:c>
      <x:c r="F61" s="10" t="str">
        <x:v>Сайт</x:v>
      </x:c>
      <x:c r="G61" s="10" t="str">
        <x:v>Возврат клиенту</x:v>
      </x:c>
      <x:c r="H61" s="10" t="str">
        <x:f>TEXT(B61,"yyyy-mm")</x:f>
        <x:v>2026-08</x:v>
      </x:c>
    </x:row>
    <x:row r="62" ht="26" customHeight="1">
      <x:c r="A62" s="10" t="str">
        <x:v>B041</x:v>
      </x:c>
      <x:c r="B62" s="23" t="d">
        <x:v>2026-08-15T00:00:00.000Z</x:v>
      </x:c>
      <x:c r="C62" s="10" t="str">
        <x:v>Оплата подрядчику за подготовку материалов 1</x:v>
      </x:c>
      <x:c r="D62" s="24" t="n">
        <x:v>-2350</x:v>
      </x:c>
      <x:c r="E62" s="10" t="str">
        <x:v>Подрядчик 1</x:v>
      </x:c>
      <x:c r="F62" s="10" t="str">
        <x:v>Банк</x:v>
      </x:c>
      <x:c r="G62" s="10" t="str">
        <x:v>Подрядчики</x:v>
      </x:c>
      <x:c r="H62" s="10" t="str">
        <x:f>TEXT(B62,"yyyy-mm")</x:f>
        <x:v>2026-08</x:v>
      </x:c>
    </x:row>
    <x:row r="63" ht="26" customHeight="1">
      <x:c r="A63" s="10" t="str">
        <x:v>B042</x:v>
      </x:c>
      <x:c r="B63" s="23" t="d">
        <x:v>2026-08-16T00:00:00.000Z</x:v>
      </x:c>
      <x:c r="C63" s="10" t="str">
        <x:v>Оплата подрядчику за подготовку материалов 2</x:v>
      </x:c>
      <x:c r="D63" s="24" t="n">
        <x:v>-2700</x:v>
      </x:c>
      <x:c r="E63" s="10" t="str">
        <x:v>Подрядчик 2</x:v>
      </x:c>
      <x:c r="F63" s="10" t="str">
        <x:v>Банк</x:v>
      </x:c>
      <x:c r="G63" s="10" t="str">
        <x:v>Подрядчики</x:v>
      </x:c>
      <x:c r="H63" s="10" t="str">
        <x:f>TEXT(B63,"yyyy-mm")</x:f>
        <x:v>2026-08</x:v>
      </x:c>
    </x:row>
    <x:row r="64" ht="26" customHeight="1">
      <x:c r="A64" s="10" t="str">
        <x:v>B043</x:v>
      </x:c>
      <x:c r="B64" s="23" t="d">
        <x:v>2026-08-17T00:00:00.000Z</x:v>
      </x:c>
      <x:c r="C64" s="10" t="str">
        <x:v>Оплата подрядчику за подготовку материалов 3</x:v>
      </x:c>
      <x:c r="D64" s="24" t="n">
        <x:v>-3050</x:v>
      </x:c>
      <x:c r="E64" s="10" t="str">
        <x:v>Подрядчик 3</x:v>
      </x:c>
      <x:c r="F64" s="10" t="str">
        <x:v>Банк</x:v>
      </x:c>
      <x:c r="G64" s="10" t="str">
        <x:v>Подрядчики</x:v>
      </x:c>
      <x:c r="H64" s="10" t="str">
        <x:f>TEXT(B64,"yyyy-mm")</x:f>
        <x:v>2026-08</x:v>
      </x:c>
    </x:row>
    <x:row r="65" ht="26" customHeight="1">
      <x:c r="A65" s="10" t="str">
        <x:v>B044</x:v>
      </x:c>
      <x:c r="B65" s="23" t="d">
        <x:v>2026-08-18T00:00:00.000Z</x:v>
      </x:c>
      <x:c r="C65" s="10" t="str">
        <x:v>Оплата подрядчику за подготовку материалов 4</x:v>
      </x:c>
      <x:c r="D65" s="24" t="n">
        <x:v>-3400</x:v>
      </x:c>
      <x:c r="E65" s="10" t="str">
        <x:v>Подрядчик 4</x:v>
      </x:c>
      <x:c r="F65" s="10" t="str">
        <x:v>Банк</x:v>
      </x:c>
      <x:c r="G65" s="10" t="str">
        <x:v>Подрядчики</x:v>
      </x:c>
      <x:c r="H65" s="10" t="str">
        <x:f>TEXT(B65,"yyyy-mm")</x:f>
        <x:v>2026-08</x:v>
      </x:c>
    </x:row>
    <x:row r="66" ht="26" customHeight="1">
      <x:c r="A66" s="10" t="str">
        <x:v>B045</x:v>
      </x:c>
      <x:c r="B66" s="23" t="d">
        <x:v>2026-08-19T00:00:00.000Z</x:v>
      </x:c>
      <x:c r="C66" s="10" t="str">
        <x:v>Рекламная кампания 1</x:v>
      </x:c>
      <x:c r="D66" s="24" t="n">
        <x:v>-4000</x:v>
      </x:c>
      <x:c r="E66" s="10" t="str">
        <x:v>Рекламная площадка</x:v>
      </x:c>
      <x:c r="F66" s="10" t="str">
        <x:v>Банк</x:v>
      </x:c>
      <x:c r="G66" s="10" t="str">
        <x:v>Реклама</x:v>
      </x:c>
      <x:c r="H66" s="10" t="str">
        <x:f>TEXT(B66,"yyyy-mm")</x:f>
        <x:v>2026-08</x:v>
      </x:c>
    </x:row>
    <x:row r="67" ht="26" customHeight="1">
      <x:c r="A67" s="10" t="str">
        <x:v>B046</x:v>
      </x:c>
      <x:c r="B67" s="23" t="d">
        <x:v>2026-08-20T00:00:00.000Z</x:v>
      </x:c>
      <x:c r="C67" s="10" t="str">
        <x:v>Рекламная кампания 2</x:v>
      </x:c>
      <x:c r="D67" s="24" t="n">
        <x:v>-4250</x:v>
      </x:c>
      <x:c r="E67" s="10" t="str">
        <x:v>Рекламная площадка</x:v>
      </x:c>
      <x:c r="F67" s="10" t="str">
        <x:v>Банк</x:v>
      </x:c>
      <x:c r="G67" s="10" t="str">
        <x:v>Реклама</x:v>
      </x:c>
      <x:c r="H67" s="10" t="str">
        <x:f>TEXT(B67,"yyyy-mm")</x:f>
        <x:v>2026-08</x:v>
      </x:c>
    </x:row>
    <x:row r="68" ht="26" customHeight="1">
      <x:c r="A68" s="10" t="str">
        <x:v>B047</x:v>
      </x:c>
      <x:c r="B68" s="23" t="d">
        <x:v>2026-08-21T00:00:00.000Z</x:v>
      </x:c>
      <x:c r="C68" s="10" t="str">
        <x:v>Рекламная кампания 3</x:v>
      </x:c>
      <x:c r="D68" s="24" t="n">
        <x:v>-4500</x:v>
      </x:c>
      <x:c r="E68" s="10" t="str">
        <x:v>Рекламная площадка</x:v>
      </x:c>
      <x:c r="F68" s="10" t="str">
        <x:v>Банк</x:v>
      </x:c>
      <x:c r="G68" s="10" t="str">
        <x:v>Реклама</x:v>
      </x:c>
      <x:c r="H68" s="10" t="str">
        <x:f>TEXT(B68,"yyyy-mm")</x:f>
        <x:v>2026-08</x:v>
      </x:c>
    </x:row>
    <x:row r="69" ht="26" customHeight="1">
      <x:c r="A69" s="10" t="str">
        <x:v>B048</x:v>
      </x:c>
      <x:c r="B69" s="23" t="d">
        <x:v>2026-08-22T00:00:00.000Z</x:v>
      </x:c>
      <x:c r="C69" s="10" t="str">
        <x:v>Подписка на рабочий сервис 1</x:v>
      </x:c>
      <x:c r="D69" s="24" t="n">
        <x:v>-900</x:v>
      </x:c>
      <x:c r="E69" s="10" t="str">
        <x:v>Рабочий сервис</x:v>
      </x:c>
      <x:c r="F69" s="10" t="str">
        <x:v>Карта</x:v>
      </x:c>
      <x:c r="G69" s="10" t="str">
        <x:v>Сервисы</x:v>
      </x:c>
      <x:c r="H69" s="10" t="str">
        <x:f>TEXT(B69,"yyyy-mm")</x:f>
        <x:v>2026-08</x:v>
      </x:c>
    </x:row>
    <x:row r="70" ht="26" customHeight="1">
      <x:c r="A70" s="10" t="str">
        <x:v>B049</x:v>
      </x:c>
      <x:c r="B70" s="23" t="d">
        <x:v>2026-08-23T00:00:00.000Z</x:v>
      </x:c>
      <x:c r="C70" s="10" t="str">
        <x:v>Подписка на рабочий сервис 2</x:v>
      </x:c>
      <x:c r="D70" s="24" t="n">
        <x:v>-1300</x:v>
      </x:c>
      <x:c r="E70" s="10" t="str">
        <x:v>Рабочий сервис</x:v>
      </x:c>
      <x:c r="F70" s="10" t="str">
        <x:v>Карта</x:v>
      </x:c>
      <x:c r="G70" s="10" t="str">
        <x:v>Сервисы</x:v>
      </x:c>
      <x:c r="H70" s="10" t="str">
        <x:f>TEXT(B70,"yyyy-mm")</x:f>
        <x:v>2026-08</x:v>
      </x:c>
    </x:row>
    <x:row r="71" ht="26" customHeight="1">
      <x:c r="A71" s="10" t="str">
        <x:v>B050</x:v>
      </x:c>
      <x:c r="B71" s="23" t="d">
        <x:v>2026-08-24T00:00:00.000Z</x:v>
      </x:c>
      <x:c r="C71" s="10" t="str">
        <x:v>Перевод на свой личный счёт</x:v>
      </x:c>
      <x:c r="D71" s="24" t="n">
        <x:v>-12000</x:v>
      </x:c>
      <x:c r="E71" s="10" t="str">
        <x:v>Собственный счёт</x:v>
      </x:c>
      <x:c r="F71" s="10" t="str">
        <x:v>Банк</x:v>
      </x:c>
      <x:c r="G71" s="10" t="str">
        <x:v>Перевод себе</x:v>
      </x:c>
      <x:c r="H71" s="10" t="str">
        <x:f>TEXT(B71,"yyyy-mm")</x:f>
        <x:v>2026-08</x:v>
      </x:c>
    </x:row>
    <x:row r="72" ht="26" customHeight="1">
      <x:c r="A72" s="10" t="str">
        <x:v>B051</x:v>
      </x:c>
      <x:c r="B72" s="23" t="d">
        <x:v>2026-08-25T00:00:00.000Z</x:v>
      </x:c>
      <x:c r="C72" s="10" t="str">
        <x:v>Пополнение от владельца</x:v>
      </x:c>
      <x:c r="D72" s="24" t="n">
        <x:v>20000</x:v>
      </x:c>
      <x:c r="E72" s="10" t="str">
        <x:v>Владелец</x:v>
      </x:c>
      <x:c r="F72" s="10" t="str">
        <x:v>Банк</x:v>
      </x:c>
      <x:c r="G72" s="10" t="str">
        <x:v>Взнос владельца</x:v>
      </x:c>
      <x:c r="H72" s="10" t="str">
        <x:f>TEXT(B72,"yyyy-mm")</x:f>
        <x:v>2026-08</x:v>
      </x:c>
    </x:row>
    <x:row r="73" ht="26" customHeight="1">
      <x:c r="A73" s="10" t="str">
        <x:v>B052</x:v>
      </x:c>
      <x:c r="B73" s="23" t="d">
        <x:v>2026-08-26T00:00:00.000Z</x:v>
      </x:c>
      <x:c r="C73" s="10" t="str">
        <x:v>Оплата по реквизитам без назначения</x:v>
      </x:c>
      <x:c r="D73" s="24" t="n">
        <x:v>-1700</x:v>
      </x:c>
      <x:c r="E73" s="10" t="str">
        <x:v>Контрагент не указан</x:v>
      </x:c>
      <x:c r="F73" s="10" t="str">
        <x:v>Банк</x:v>
      </x:c>
      <x:c r="G73" s="10" t="str">
        <x:v>Нужно уточнить</x:v>
      </x:c>
      <x:c r="H73" s="10" t="str">
        <x:f>TEXT(B73,"yyyy-mm")</x:f>
        <x:v>2026-08</x:v>
      </x:c>
    </x:row>
    <x:row r="74" ht="26" customHeight="1">
      <x:c r="A74" s="10" t="str">
        <x:v>B053</x:v>
      </x:c>
      <x:c r="B74" s="23" t="d">
        <x:v>2026-09-01T00:00:00.000Z</x:v>
      </x:c>
      <x:c r="C74" s="10" t="str">
        <x:v>Оплата консультации, заказ 900</x:v>
      </x:c>
      <x:c r="D74" s="24" t="n">
        <x:v>7000</x:v>
      </x:c>
      <x:c r="E74" s="10" t="str">
        <x:v>Клиент 01</x:v>
      </x:c>
      <x:c r="F74" s="10" t="str">
        <x:v>Сайт</x:v>
      </x:c>
      <x:c r="G74" s="10" t="str">
        <x:v>Оплата клиента</x:v>
      </x:c>
      <x:c r="H74" s="10" t="str">
        <x:f>TEXT(B74,"yyyy-mm")</x:f>
        <x:v>2026-09</x:v>
      </x:c>
    </x:row>
    <x:row r="75" ht="26" customHeight="1">
      <x:c r="A75" s="10" t="str">
        <x:v>B054</x:v>
      </x:c>
      <x:c r="B75" s="23" t="d">
        <x:v>2026-09-02T00:00:00.000Z</x:v>
      </x:c>
      <x:c r="C75" s="10" t="str">
        <x:v>Оплата консультации, заказ 901</x:v>
      </x:c>
      <x:c r="D75" s="24" t="n">
        <x:v>8500</x:v>
      </x:c>
      <x:c r="E75" s="10" t="str">
        <x:v>Клиент 02</x:v>
      </x:c>
      <x:c r="F75" s="10" t="str">
        <x:v>Рекомендации</x:v>
      </x:c>
      <x:c r="G75" s="10" t="str">
        <x:v>Оплата клиента</x:v>
      </x:c>
      <x:c r="H75" s="10" t="str">
        <x:f>TEXT(B75,"yyyy-mm")</x:f>
        <x:v>2026-09</x:v>
      </x:c>
    </x:row>
    <x:row r="76" ht="26" customHeight="1">
      <x:c r="A76" s="10" t="str">
        <x:v>B055</x:v>
      </x:c>
      <x:c r="B76" s="23" t="d">
        <x:v>2026-09-03T00:00:00.000Z</x:v>
      </x:c>
      <x:c r="C76" s="10" t="str">
        <x:v>Оплата консультации, заказ 902</x:v>
      </x:c>
      <x:c r="D76" s="24" t="n">
        <x:v>10000</x:v>
      </x:c>
      <x:c r="E76" s="10" t="str">
        <x:v>Клиент 03</x:v>
      </x:c>
      <x:c r="F76" s="10" t="str">
        <x:v>Соцсети</x:v>
      </x:c>
      <x:c r="G76" s="10" t="str">
        <x:v>Оплата клиента</x:v>
      </x:c>
      <x:c r="H76" s="10" t="str">
        <x:f>TEXT(B76,"yyyy-mm")</x:f>
        <x:v>2026-09</x:v>
      </x:c>
    </x:row>
    <x:row r="77" ht="26" customHeight="1">
      <x:c r="A77" s="10" t="str">
        <x:v>B056</x:v>
      </x:c>
      <x:c r="B77" s="23" t="d">
        <x:v>2026-09-04T00:00:00.000Z</x:v>
      </x:c>
      <x:c r="C77" s="10" t="str">
        <x:v>Оплата консультации, заказ 903</x:v>
      </x:c>
      <x:c r="D77" s="24" t="n">
        <x:v>11500</x:v>
      </x:c>
      <x:c r="E77" s="10" t="str">
        <x:v>Клиент 04</x:v>
      </x:c>
      <x:c r="F77" s="10" t="str">
        <x:v>Сайт</x:v>
      </x:c>
      <x:c r="G77" s="10" t="str">
        <x:v>Оплата клиента</x:v>
      </x:c>
      <x:c r="H77" s="10" t="str">
        <x:f>TEXT(B77,"yyyy-mm")</x:f>
        <x:v>2026-09</x:v>
      </x:c>
    </x:row>
    <x:row r="78" ht="26" customHeight="1">
      <x:c r="A78" s="10" t="str">
        <x:v>B057</x:v>
      </x:c>
      <x:c r="B78" s="23" t="d">
        <x:v>2026-09-05T00:00:00.000Z</x:v>
      </x:c>
      <x:c r="C78" s="10" t="str">
        <x:v>Оплата консультации, заказ 904</x:v>
      </x:c>
      <x:c r="D78" s="24" t="n">
        <x:v>7000</x:v>
      </x:c>
      <x:c r="E78" s="10" t="str">
        <x:v>Клиент 05</x:v>
      </x:c>
      <x:c r="F78" s="10" t="str">
        <x:v>Рекомендации</x:v>
      </x:c>
      <x:c r="G78" s="10" t="str">
        <x:v>Оплата клиента</x:v>
      </x:c>
      <x:c r="H78" s="10" t="str">
        <x:f>TEXT(B78,"yyyy-mm")</x:f>
        <x:v>2026-09</x:v>
      </x:c>
    </x:row>
    <x:row r="79" ht="26" customHeight="1">
      <x:c r="A79" s="10" t="str">
        <x:v>B058</x:v>
      </x:c>
      <x:c r="B79" s="23" t="d">
        <x:v>2026-09-06T00:00:00.000Z</x:v>
      </x:c>
      <x:c r="C79" s="10" t="str">
        <x:v>Оплата консультации, заказ 905</x:v>
      </x:c>
      <x:c r="D79" s="24" t="n">
        <x:v>8500</x:v>
      </x:c>
      <x:c r="E79" s="10" t="str">
        <x:v>Клиент 06</x:v>
      </x:c>
      <x:c r="F79" s="10" t="str">
        <x:v>Соцсети</x:v>
      </x:c>
      <x:c r="G79" s="10" t="str">
        <x:v>Оплата клиента</x:v>
      </x:c>
      <x:c r="H79" s="10" t="str">
        <x:f>TEXT(B79,"yyyy-mm")</x:f>
        <x:v>2026-09</x:v>
      </x:c>
    </x:row>
    <x:row r="80" ht="26" customHeight="1">
      <x:c r="A80" s="10" t="str">
        <x:v>B059</x:v>
      </x:c>
      <x:c r="B80" s="23" t="d">
        <x:v>2026-09-07T00:00:00.000Z</x:v>
      </x:c>
      <x:c r="C80" s="10" t="str">
        <x:v>Оплата консультации, заказ 906</x:v>
      </x:c>
      <x:c r="D80" s="24" t="n">
        <x:v>10000</x:v>
      </x:c>
      <x:c r="E80" s="10" t="str">
        <x:v>Клиент 07</x:v>
      </x:c>
      <x:c r="F80" s="10" t="str">
        <x:v>Сайт</x:v>
      </x:c>
      <x:c r="G80" s="10" t="str">
        <x:v>Оплата клиента</x:v>
      </x:c>
      <x:c r="H80" s="10" t="str">
        <x:f>TEXT(B80,"yyyy-mm")</x:f>
        <x:v>2026-09</x:v>
      </x:c>
    </x:row>
    <x:row r="81" ht="26" customHeight="1">
      <x:c r="A81" s="10" t="str">
        <x:v>B060</x:v>
      </x:c>
      <x:c r="B81" s="23" t="d">
        <x:v>2026-09-08T00:00:00.000Z</x:v>
      </x:c>
      <x:c r="C81" s="10" t="str">
        <x:v>Оплата консультации, заказ 907</x:v>
      </x:c>
      <x:c r="D81" s="24" t="n">
        <x:v>11500</x:v>
      </x:c>
      <x:c r="E81" s="10" t="str">
        <x:v>Клиент 08</x:v>
      </x:c>
      <x:c r="F81" s="10" t="str">
        <x:v>Рекомендации</x:v>
      </x:c>
      <x:c r="G81" s="10" t="str">
        <x:v>Оплата клиента</x:v>
      </x:c>
      <x:c r="H81" s="10" t="str">
        <x:f>TEXT(B81,"yyyy-mm")</x:f>
        <x:v>2026-09</x:v>
      </x:c>
    </x:row>
    <x:row r="82" ht="26" customHeight="1">
      <x:c r="A82" s="10" t="str">
        <x:v>B061</x:v>
      </x:c>
      <x:c r="B82" s="23" t="d">
        <x:v>2026-09-09T00:00:00.000Z</x:v>
      </x:c>
      <x:c r="C82" s="10" t="str">
        <x:v>Оплата консультации, заказ 908</x:v>
      </x:c>
      <x:c r="D82" s="24" t="n">
        <x:v>7000</x:v>
      </x:c>
      <x:c r="E82" s="10" t="str">
        <x:v>Клиент 09</x:v>
      </x:c>
      <x:c r="F82" s="10" t="str">
        <x:v>Соцсети</x:v>
      </x:c>
      <x:c r="G82" s="10" t="str">
        <x:v>Оплата клиента</x:v>
      </x:c>
      <x:c r="H82" s="10" t="str">
        <x:f>TEXT(B82,"yyyy-mm")</x:f>
        <x:v>2026-09</x:v>
      </x:c>
    </x:row>
    <x:row r="83" ht="26" customHeight="1">
      <x:c r="A83" s="10" t="str">
        <x:v>B062</x:v>
      </x:c>
      <x:c r="B83" s="23" t="d">
        <x:v>2026-09-10T00:00:00.000Z</x:v>
      </x:c>
      <x:c r="C83" s="10" t="str">
        <x:v>Оплата консультации, заказ 909</x:v>
      </x:c>
      <x:c r="D83" s="24" t="n">
        <x:v>8500</x:v>
      </x:c>
      <x:c r="E83" s="10" t="str">
        <x:v>Клиент 10</x:v>
      </x:c>
      <x:c r="F83" s="10" t="str">
        <x:v>Сайт</x:v>
      </x:c>
      <x:c r="G83" s="10" t="str">
        <x:v>Оплата клиента</x:v>
      </x:c>
      <x:c r="H83" s="10" t="str">
        <x:f>TEXT(B83,"yyyy-mm")</x:f>
        <x:v>2026-09</x:v>
      </x:c>
    </x:row>
    <x:row r="84" ht="26" customHeight="1">
      <x:c r="A84" s="10" t="str">
        <x:v>B063</x:v>
      </x:c>
      <x:c r="B84" s="23" t="d">
        <x:v>2026-09-11T00:00:00.000Z</x:v>
      </x:c>
      <x:c r="C84" s="10" t="str">
        <x:v>Оплата консультации, заказ 910</x:v>
      </x:c>
      <x:c r="D84" s="24" t="n">
        <x:v>10000</x:v>
      </x:c>
      <x:c r="E84" s="10" t="str">
        <x:v>Клиент 11</x:v>
      </x:c>
      <x:c r="F84" s="10" t="str">
        <x:v>Рекомендации</x:v>
      </x:c>
      <x:c r="G84" s="10" t="str">
        <x:v>Оплата клиента</x:v>
      </x:c>
      <x:c r="H84" s="10" t="str">
        <x:f>TEXT(B84,"yyyy-mm")</x:f>
        <x:v>2026-09</x:v>
      </x:c>
    </x:row>
    <x:row r="85" ht="26" customHeight="1">
      <x:c r="A85" s="10" t="str">
        <x:v>B064</x:v>
      </x:c>
      <x:c r="B85" s="23" t="d">
        <x:v>2026-09-12T00:00:00.000Z</x:v>
      </x:c>
      <x:c r="C85" s="10" t="str">
        <x:v>Оплата консультации, заказ 911</x:v>
      </x:c>
      <x:c r="D85" s="24" t="n">
        <x:v>11500</x:v>
      </x:c>
      <x:c r="E85" s="10" t="str">
        <x:v>Клиент 12</x:v>
      </x:c>
      <x:c r="F85" s="10" t="str">
        <x:v>Соцсети</x:v>
      </x:c>
      <x:c r="G85" s="10" t="str">
        <x:v>Оплата клиента</x:v>
      </x:c>
      <x:c r="H85" s="10" t="str">
        <x:f>TEXT(B85,"yyyy-mm")</x:f>
        <x:v>2026-09</x:v>
      </x:c>
    </x:row>
    <x:row r="86" ht="26" customHeight="1">
      <x:c r="A86" s="10" t="str">
        <x:v>B065</x:v>
      </x:c>
      <x:c r="B86" s="23" t="d">
        <x:v>2026-09-13T00:00:00.000Z</x:v>
      </x:c>
      <x:c r="C86" s="10" t="str">
        <x:v>Возврат клиенту по заказу 900</x:v>
      </x:c>
      <x:c r="D86" s="24" t="n">
        <x:v>-2200</x:v>
      </x:c>
      <x:c r="E86" s="10" t="str">
        <x:v>Клиент 01</x:v>
      </x:c>
      <x:c r="F86" s="10" t="str">
        <x:v>Сайт</x:v>
      </x:c>
      <x:c r="G86" s="10" t="str">
        <x:v>Возврат клиенту</x:v>
      </x:c>
      <x:c r="H86" s="10" t="str">
        <x:f>TEXT(B86,"yyyy-mm")</x:f>
        <x:v>2026-09</x:v>
      </x:c>
    </x:row>
    <x:row r="87" ht="26" customHeight="1">
      <x:c r="A87" s="10" t="str">
        <x:v>B066</x:v>
      </x:c>
      <x:c r="B87" s="23" t="d">
        <x:v>2026-09-14T00:00:00.000Z</x:v>
      </x:c>
      <x:c r="C87" s="10" t="str">
        <x:v>Возврат клиенту по заказу 901</x:v>
      </x:c>
      <x:c r="D87" s="24" t="n">
        <x:v>-2600</x:v>
      </x:c>
      <x:c r="E87" s="10" t="str">
        <x:v>Клиент 02</x:v>
      </x:c>
      <x:c r="F87" s="10" t="str">
        <x:v>Сайт</x:v>
      </x:c>
      <x:c r="G87" s="10" t="str">
        <x:v>Возврат клиенту</x:v>
      </x:c>
      <x:c r="H87" s="10" t="str">
        <x:f>TEXT(B87,"yyyy-mm")</x:f>
        <x:v>2026-09</x:v>
      </x:c>
    </x:row>
    <x:row r="88" ht="26" customHeight="1">
      <x:c r="A88" s="10" t="str">
        <x:v>B067</x:v>
      </x:c>
      <x:c r="B88" s="23" t="d">
        <x:v>2026-09-15T00:00:00.000Z</x:v>
      </x:c>
      <x:c r="C88" s="10" t="str">
        <x:v>Оплата подрядчику за подготовку материалов 1</x:v>
      </x:c>
      <x:c r="D88" s="24" t="n">
        <x:v>-2500</x:v>
      </x:c>
      <x:c r="E88" s="10" t="str">
        <x:v>Подрядчик 1</x:v>
      </x:c>
      <x:c r="F88" s="10" t="str">
        <x:v>Банк</x:v>
      </x:c>
      <x:c r="G88" s="10" t="str">
        <x:v>Подрядчики</x:v>
      </x:c>
      <x:c r="H88" s="10" t="str">
        <x:f>TEXT(B88,"yyyy-mm")</x:f>
        <x:v>2026-09</x:v>
      </x:c>
    </x:row>
    <x:row r="89" ht="26" customHeight="1">
      <x:c r="A89" s="10" t="str">
        <x:v>B068</x:v>
      </x:c>
      <x:c r="B89" s="23" t="d">
        <x:v>2026-09-16T00:00:00.000Z</x:v>
      </x:c>
      <x:c r="C89" s="10" t="str">
        <x:v>Оплата подрядчику за подготовку материалов 2</x:v>
      </x:c>
      <x:c r="D89" s="24" t="n">
        <x:v>-2850</x:v>
      </x:c>
      <x:c r="E89" s="10" t="str">
        <x:v>Подрядчик 2</x:v>
      </x:c>
      <x:c r="F89" s="10" t="str">
        <x:v>Банк</x:v>
      </x:c>
      <x:c r="G89" s="10" t="str">
        <x:v>Подрядчики</x:v>
      </x:c>
      <x:c r="H89" s="10" t="str">
        <x:f>TEXT(B89,"yyyy-mm")</x:f>
        <x:v>2026-09</x:v>
      </x:c>
    </x:row>
    <x:row r="90" ht="26" customHeight="1">
      <x:c r="A90" s="10" t="str">
        <x:v>B069</x:v>
      </x:c>
      <x:c r="B90" s="23" t="d">
        <x:v>2026-09-17T00:00:00.000Z</x:v>
      </x:c>
      <x:c r="C90" s="10" t="str">
        <x:v>Оплата подрядчику за подготовку материалов 3</x:v>
      </x:c>
      <x:c r="D90" s="24" t="n">
        <x:v>-3200</x:v>
      </x:c>
      <x:c r="E90" s="10" t="str">
        <x:v>Подрядчик 3</x:v>
      </x:c>
      <x:c r="F90" s="10" t="str">
        <x:v>Банк</x:v>
      </x:c>
      <x:c r="G90" s="10" t="str">
        <x:v>Подрядчики</x:v>
      </x:c>
      <x:c r="H90" s="10" t="str">
        <x:f>TEXT(B90,"yyyy-mm")</x:f>
        <x:v>2026-09</x:v>
      </x:c>
    </x:row>
    <x:row r="91" ht="26" customHeight="1">
      <x:c r="A91" s="10" t="str">
        <x:v>B070</x:v>
      </x:c>
      <x:c r="B91" s="23" t="d">
        <x:v>2026-09-18T00:00:00.000Z</x:v>
      </x:c>
      <x:c r="C91" s="10" t="str">
        <x:v>Оплата подрядчику за подготовку материалов 4</x:v>
      </x:c>
      <x:c r="D91" s="24" t="n">
        <x:v>-3550</x:v>
      </x:c>
      <x:c r="E91" s="10" t="str">
        <x:v>Подрядчик 4</x:v>
      </x:c>
      <x:c r="F91" s="10" t="str">
        <x:v>Банк</x:v>
      </x:c>
      <x:c r="G91" s="10" t="str">
        <x:v>Подрядчики</x:v>
      </x:c>
      <x:c r="H91" s="10" t="str">
        <x:f>TEXT(B91,"yyyy-mm")</x:f>
        <x:v>2026-09</x:v>
      </x:c>
    </x:row>
    <x:row r="92" ht="26" customHeight="1">
      <x:c r="A92" s="10" t="str">
        <x:v>B071</x:v>
      </x:c>
      <x:c r="B92" s="23" t="d">
        <x:v>2026-09-19T00:00:00.000Z</x:v>
      </x:c>
      <x:c r="C92" s="10" t="str">
        <x:v>Рекламная кампания 1</x:v>
      </x:c>
      <x:c r="D92" s="24" t="n">
        <x:v>-4500</x:v>
      </x:c>
      <x:c r="E92" s="10" t="str">
        <x:v>Рекламная площадка</x:v>
      </x:c>
      <x:c r="F92" s="10" t="str">
        <x:v>Банк</x:v>
      </x:c>
      <x:c r="G92" s="10" t="str">
        <x:v>Реклама</x:v>
      </x:c>
      <x:c r="H92" s="10" t="str">
        <x:f>TEXT(B92,"yyyy-mm")</x:f>
        <x:v>2026-09</x:v>
      </x:c>
    </x:row>
    <x:row r="93" ht="26" customHeight="1">
      <x:c r="A93" s="10" t="str">
        <x:v>B072</x:v>
      </x:c>
      <x:c r="B93" s="23" t="d">
        <x:v>2026-09-20T00:00:00.000Z</x:v>
      </x:c>
      <x:c r="C93" s="10" t="str">
        <x:v>Рекламная кампания 2</x:v>
      </x:c>
      <x:c r="D93" s="24" t="n">
        <x:v>-4750</x:v>
      </x:c>
      <x:c r="E93" s="10" t="str">
        <x:v>Рекламная площадка</x:v>
      </x:c>
      <x:c r="F93" s="10" t="str">
        <x:v>Банк</x:v>
      </x:c>
      <x:c r="G93" s="10" t="str">
        <x:v>Реклама</x:v>
      </x:c>
      <x:c r="H93" s="10" t="str">
        <x:f>TEXT(B93,"yyyy-mm")</x:f>
        <x:v>2026-09</x:v>
      </x:c>
    </x:row>
    <x:row r="94" ht="26" customHeight="1">
      <x:c r="A94" s="10" t="str">
        <x:v>B073</x:v>
      </x:c>
      <x:c r="B94" s="23" t="d">
        <x:v>2026-09-21T00:00:00.000Z</x:v>
      </x:c>
      <x:c r="C94" s="10" t="str">
        <x:v>Рекламная кампания 3</x:v>
      </x:c>
      <x:c r="D94" s="24" t="n">
        <x:v>-5000</x:v>
      </x:c>
      <x:c r="E94" s="10" t="str">
        <x:v>Рекламная площадка</x:v>
      </x:c>
      <x:c r="F94" s="10" t="str">
        <x:v>Банк</x:v>
      </x:c>
      <x:c r="G94" s="10" t="str">
        <x:v>Реклама</x:v>
      </x:c>
      <x:c r="H94" s="10" t="str">
        <x:f>TEXT(B94,"yyyy-mm")</x:f>
        <x:v>2026-09</x:v>
      </x:c>
    </x:row>
    <x:row r="95" ht="26" customHeight="1">
      <x:c r="A95" s="10" t="str">
        <x:v>B074</x:v>
      </x:c>
      <x:c r="B95" s="23" t="d">
        <x:v>2026-09-22T00:00:00.000Z</x:v>
      </x:c>
      <x:c r="C95" s="10" t="str">
        <x:v>Подписка на рабочий сервис 1</x:v>
      </x:c>
      <x:c r="D95" s="24" t="n">
        <x:v>-900</x:v>
      </x:c>
      <x:c r="E95" s="10" t="str">
        <x:v>Рабочий сервис</x:v>
      </x:c>
      <x:c r="F95" s="10" t="str">
        <x:v>Карта</x:v>
      </x:c>
      <x:c r="G95" s="10" t="str">
        <x:v>Сервисы</x:v>
      </x:c>
      <x:c r="H95" s="10" t="str">
        <x:f>TEXT(B95,"yyyy-mm")</x:f>
        <x:v>2026-09</x:v>
      </x:c>
    </x:row>
    <x:row r="96" ht="26" customHeight="1">
      <x:c r="A96" s="10" t="str">
        <x:v>B075</x:v>
      </x:c>
      <x:c r="B96" s="23" t="d">
        <x:v>2026-09-23T00:00:00.000Z</x:v>
      </x:c>
      <x:c r="C96" s="10" t="str">
        <x:v>Подписка на рабочий сервис 2</x:v>
      </x:c>
      <x:c r="D96" s="24" t="n">
        <x:v>-1300</x:v>
      </x:c>
      <x:c r="E96" s="10" t="str">
        <x:v>Рабочий сервис</x:v>
      </x:c>
      <x:c r="F96" s="10" t="str">
        <x:v>Карта</x:v>
      </x:c>
      <x:c r="G96" s="10" t="str">
        <x:v>Сервисы</x:v>
      </x:c>
      <x:c r="H96" s="10" t="str">
        <x:f>TEXT(B96,"yyyy-mm")</x:f>
        <x:v>2026-09</x:v>
      </x:c>
    </x:row>
    <x:row r="97" ht="26" customHeight="1">
      <x:c r="A97" s="10" t="str">
        <x:v>B076</x:v>
      </x:c>
      <x:c r="B97" s="23" t="d">
        <x:v>2026-09-24T00:00:00.000Z</x:v>
      </x:c>
      <x:c r="C97" s="10" t="str">
        <x:v>Перевод на свой личный счёт</x:v>
      </x:c>
      <x:c r="D97" s="24" t="n">
        <x:v>-12000</x:v>
      </x:c>
      <x:c r="E97" s="10" t="str">
        <x:v>Собственный счёт</x:v>
      </x:c>
      <x:c r="F97" s="10" t="str">
        <x:v>Банк</x:v>
      </x:c>
      <x:c r="G97" s="10" t="str">
        <x:v>Перевод себе</x:v>
      </x:c>
      <x:c r="H97" s="10" t="str">
        <x:f>TEXT(B97,"yyyy-mm")</x:f>
        <x:v>2026-09</x:v>
      </x:c>
    </x:row>
    <x:row r="98" ht="26" customHeight="1">
      <x:c r="A98" s="10" t="str">
        <x:v>B077</x:v>
      </x:c>
      <x:c r="B98" s="23" t="d">
        <x:v>2026-09-25T00:00:00.000Z</x:v>
      </x:c>
      <x:c r="C98" s="10" t="str">
        <x:v>Пополнение от владельца</x:v>
      </x:c>
      <x:c r="D98" s="24" t="n">
        <x:v>20000</x:v>
      </x:c>
      <x:c r="E98" s="10" t="str">
        <x:v>Владелец</x:v>
      </x:c>
      <x:c r="F98" s="10" t="str">
        <x:v>Банк</x:v>
      </x:c>
      <x:c r="G98" s="10" t="str">
        <x:v>Взнос владельца</x:v>
      </x:c>
      <x:c r="H98" s="10" t="str">
        <x:f>TEXT(B98,"yyyy-mm")</x:f>
        <x:v>2026-09</x:v>
      </x:c>
    </x:row>
    <x:row r="99" ht="26" customHeight="1">
      <x:c r="A99" s="10" t="str">
        <x:v>B078</x:v>
      </x:c>
      <x:c r="B99" s="23" t="d">
        <x:v>2026-09-26T00:00:00.000Z</x:v>
      </x:c>
      <x:c r="C99" s="10" t="str">
        <x:v>Оплата по реквизитам без назначения</x:v>
      </x:c>
      <x:c r="D99" s="24" t="n">
        <x:v>-1700</x:v>
      </x:c>
      <x:c r="E99" s="10" t="str">
        <x:v>Контрагент не указан</x:v>
      </x:c>
      <x:c r="F99" s="10" t="str">
        <x:v>Банк</x:v>
      </x:c>
      <x:c r="G99" s="10" t="str">
        <x:v>Нужно уточнить</x:v>
      </x:c>
      <x:c r="H99" s="10" t="str">
        <x:f>TEXT(B99,"yyyy-mm")</x:f>
        <x:v>2026-09</x:v>
      </x:c>
    </x:row>
  </x:sheetData>
  <x:mergeCells>
    <x:mergeCell ref="A1:H1"/>
    <x:mergeCell ref="A2:H2"/>
    <x:mergeCell ref="A20:H20"/>
  </x:mergeCells>
  <x:pageMargins left="0.7" right="0.7" top="0.75" bottom="0.75" header="0.3" footer="0.3"/>
</x:worksheet>
</file>